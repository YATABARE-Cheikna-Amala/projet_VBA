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GROUPE1\"/>
    </mc:Choice>
  </mc:AlternateContent>
  <xr:revisionPtr revIDLastSave="0" documentId="8_{CC716331-6A74-4E1B-8427-DF3CF9611679}" xr6:coauthVersionLast="47" xr6:coauthVersionMax="47" xr10:uidLastSave="{00000000-0000-0000-0000-000000000000}"/>
  <bookViews>
    <workbookView xWindow="-110" yWindow="-110" windowWidth="19420" windowHeight="10300" xr2:uid="{865AD55C-FF66-4492-98FF-D50838AF8BAC}"/>
  </bookViews>
  <sheets>
    <sheet name="Home" sheetId="9" r:id="rId1"/>
    <sheet name="feuille_Article" sheetId="12" r:id="rId2"/>
    <sheet name="feuille_order" sheetId="10" r:id="rId3"/>
    <sheet name="feuille_po" sheetId="11" r:id="rId4"/>
    <sheet name="feuille_booking" sheetId="13" r:id="rId5"/>
    <sheet name="feuille_fournisseur" sheetId="16" r:id="rId6"/>
    <sheet name="feuille_client" sheetId="14" r:id="rId7"/>
    <sheet name="feuille_config" sheetId="15" r:id="rId8"/>
  </sheets>
  <definedNames>
    <definedName name="articl">Tableau14[Nr Article]</definedName>
    <definedName name="article" localSheetId="1">Tableau14[Nr Article]</definedName>
    <definedName name="article" localSheetId="4">#REF!</definedName>
    <definedName name="article" localSheetId="6">#REF!</definedName>
    <definedName name="article" localSheetId="7">#REF!</definedName>
    <definedName name="article" localSheetId="5">#REF!</definedName>
    <definedName name="article" localSheetId="2">#REF!</definedName>
    <definedName name="article" localSheetId="3">#REF!</definedName>
    <definedName name="article" localSheetId="0">#REF!</definedName>
    <definedName name="article">#REF!</definedName>
    <definedName name="client">feuille_client!$B$6:$B$31</definedName>
    <definedName name="fournisseur">#REF!</definedName>
    <definedName name="fournisseur2">feuille_fournisseur!$B$6:$B$20</definedName>
    <definedName name="order">Tableau25[Nr commande]</definedName>
    <definedName name="Segment_Nom">#N/A</definedName>
    <definedName name="Segment_Type">#N/A</definedName>
    <definedName name="_xlnm.Print_Area" localSheetId="3">feuille_po!$A$2:$I$47</definedName>
  </definedNames>
  <calcPr calcId="191029"/>
  <pivotCaches>
    <pivotCache cacheId="2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5" l="1"/>
  <c r="I99" i="13"/>
  <c r="J99" i="13"/>
  <c r="L99" i="13"/>
  <c r="M99" i="13"/>
  <c r="H40" i="10"/>
  <c r="J40" i="10" a="1"/>
  <c r="J40" i="10" s="1"/>
  <c r="K40" i="10" s="1"/>
  <c r="H39" i="10"/>
  <c r="J39" i="10" a="1"/>
  <c r="J39" i="10" s="1"/>
  <c r="K39" i="10" s="1"/>
  <c r="H38" i="10"/>
  <c r="J38" i="10" a="1"/>
  <c r="J38" i="10" s="1"/>
  <c r="K38" i="10" s="1"/>
  <c r="H37" i="10"/>
  <c r="J37" i="10" a="1"/>
  <c r="J37" i="10" s="1"/>
  <c r="K37" i="10" s="1"/>
  <c r="E43" i="15"/>
  <c r="F36" i="12"/>
  <c r="G36" i="12" s="1"/>
  <c r="I98" i="13"/>
  <c r="J98" i="13"/>
  <c r="L98" i="13"/>
  <c r="M98" i="13"/>
  <c r="I97" i="13"/>
  <c r="J97" i="13"/>
  <c r="L97" i="13"/>
  <c r="M97" i="13"/>
  <c r="I96" i="13"/>
  <c r="J96" i="13"/>
  <c r="L96" i="13"/>
  <c r="M96" i="13"/>
  <c r="F35" i="12"/>
  <c r="G35" i="12" s="1"/>
  <c r="F34" i="12"/>
  <c r="G34" i="12" s="1"/>
  <c r="F33" i="12"/>
  <c r="G33" i="12" s="1"/>
  <c r="H36" i="10"/>
  <c r="J36" i="10" a="1"/>
  <c r="J36" i="10" s="1"/>
  <c r="K36" i="10" s="1"/>
  <c r="H35" i="10"/>
  <c r="J35" i="10" a="1"/>
  <c r="J35" i="10" s="1"/>
  <c r="K35" i="10" s="1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J95" i="13"/>
  <c r="L95" i="13"/>
  <c r="M95" i="13"/>
  <c r="H34" i="10"/>
  <c r="J34" i="10" a="1"/>
  <c r="J34" i="10" s="1"/>
  <c r="K34" i="10" s="1"/>
  <c r="H33" i="10"/>
  <c r="J33" i="10" a="1"/>
  <c r="J33" i="10" s="1"/>
  <c r="K33" i="10" s="1"/>
  <c r="H32" i="10"/>
  <c r="J32" i="10" a="1"/>
  <c r="J32" i="10" s="1"/>
  <c r="K32" i="10" s="1"/>
  <c r="H31" i="10"/>
  <c r="J31" i="10" a="1"/>
  <c r="J31" i="10" s="1"/>
  <c r="K31" i="10" s="1"/>
  <c r="H30" i="10"/>
  <c r="J30" i="10" a="1"/>
  <c r="J30" i="10" s="1"/>
  <c r="K30" i="10" s="1"/>
  <c r="H29" i="10"/>
  <c r="J29" i="10" a="1"/>
  <c r="J29" i="10" s="1"/>
  <c r="K29" i="10" s="1"/>
  <c r="J94" i="13"/>
  <c r="L94" i="13"/>
  <c r="M94" i="13"/>
  <c r="J93" i="13"/>
  <c r="L93" i="13"/>
  <c r="M93" i="13"/>
  <c r="J92" i="13"/>
  <c r="L92" i="13"/>
  <c r="M92" i="13"/>
  <c r="J91" i="13"/>
  <c r="L91" i="13"/>
  <c r="M91" i="13"/>
  <c r="J90" i="13"/>
  <c r="L90" i="13"/>
  <c r="M90" i="13"/>
  <c r="J89" i="13"/>
  <c r="L89" i="13"/>
  <c r="M89" i="13"/>
  <c r="J88" i="13"/>
  <c r="L88" i="13"/>
  <c r="M88" i="13"/>
  <c r="J87" i="13"/>
  <c r="L87" i="13"/>
  <c r="M87" i="13"/>
  <c r="J86" i="13"/>
  <c r="L86" i="13"/>
  <c r="M86" i="13"/>
  <c r="J85" i="13"/>
  <c r="L85" i="13"/>
  <c r="M85" i="13"/>
  <c r="J84" i="13"/>
  <c r="L84" i="13"/>
  <c r="M84" i="13"/>
  <c r="J83" i="13"/>
  <c r="L83" i="13"/>
  <c r="M83" i="13"/>
  <c r="J82" i="13"/>
  <c r="L82" i="13"/>
  <c r="M82" i="13"/>
  <c r="J81" i="13"/>
  <c r="L81" i="13"/>
  <c r="M81" i="13"/>
  <c r="J80" i="13"/>
  <c r="L80" i="13"/>
  <c r="M80" i="13"/>
  <c r="J79" i="13"/>
  <c r="L79" i="13"/>
  <c r="M79" i="13"/>
  <c r="J78" i="13"/>
  <c r="L78" i="13"/>
  <c r="M78" i="13"/>
  <c r="J77" i="13"/>
  <c r="L77" i="13"/>
  <c r="M77" i="13"/>
  <c r="J76" i="13"/>
  <c r="L76" i="13"/>
  <c r="M76" i="13"/>
  <c r="J75" i="13"/>
  <c r="L75" i="13"/>
  <c r="M75" i="13"/>
  <c r="J74" i="13"/>
  <c r="L74" i="13"/>
  <c r="M74" i="13"/>
  <c r="J73" i="13"/>
  <c r="L73" i="13"/>
  <c r="M73" i="13"/>
  <c r="J72" i="13"/>
  <c r="L72" i="13"/>
  <c r="M72" i="13"/>
  <c r="J71" i="13"/>
  <c r="L71" i="13"/>
  <c r="M71" i="13"/>
  <c r="J70" i="13"/>
  <c r="L70" i="13"/>
  <c r="M70" i="13"/>
  <c r="J69" i="13"/>
  <c r="L69" i="13"/>
  <c r="M69" i="13"/>
  <c r="J68" i="13"/>
  <c r="L68" i="13"/>
  <c r="M68" i="13"/>
  <c r="J67" i="13"/>
  <c r="L67" i="13"/>
  <c r="M67" i="13"/>
  <c r="J66" i="13"/>
  <c r="L66" i="13"/>
  <c r="M66" i="13"/>
  <c r="J65" i="13"/>
  <c r="L65" i="13"/>
  <c r="M65" i="13"/>
  <c r="J64" i="13"/>
  <c r="L64" i="13"/>
  <c r="M64" i="13"/>
  <c r="J63" i="13"/>
  <c r="L63" i="13"/>
  <c r="M63" i="13"/>
  <c r="J62" i="13"/>
  <c r="L62" i="13"/>
  <c r="M62" i="13"/>
  <c r="J61" i="13"/>
  <c r="L61" i="13"/>
  <c r="M61" i="13"/>
  <c r="J60" i="13"/>
  <c r="L60" i="13"/>
  <c r="M60" i="13"/>
  <c r="J59" i="13"/>
  <c r="L59" i="13"/>
  <c r="M59" i="13"/>
  <c r="J58" i="13"/>
  <c r="L58" i="13"/>
  <c r="M58" i="13"/>
  <c r="J57" i="13"/>
  <c r="L57" i="13"/>
  <c r="M57" i="13"/>
  <c r="J56" i="13"/>
  <c r="L56" i="13"/>
  <c r="M56" i="13"/>
  <c r="J55" i="13"/>
  <c r="L55" i="13"/>
  <c r="M55" i="13"/>
  <c r="J54" i="13"/>
  <c r="L54" i="13"/>
  <c r="M54" i="13"/>
  <c r="J53" i="13"/>
  <c r="L53" i="13"/>
  <c r="M53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6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K52" i="13"/>
  <c r="L52" i="13"/>
  <c r="L51" i="13"/>
  <c r="I36" i="12" l="1"/>
  <c r="F45" i="15"/>
  <c r="I45" i="15"/>
  <c r="I35" i="12"/>
  <c r="I34" i="12"/>
  <c r="I33" i="12"/>
  <c r="G45" i="15"/>
  <c r="H45" i="15"/>
  <c r="E45" i="15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H28" i="10"/>
  <c r="J28" i="10" a="1"/>
  <c r="J28" i="10" s="1"/>
  <c r="K28" i="10" s="1"/>
  <c r="H27" i="10"/>
  <c r="J27" i="10" a="1"/>
  <c r="J27" i="10" s="1"/>
  <c r="K27" i="10" s="1"/>
  <c r="H26" i="10"/>
  <c r="J26" i="10" a="1"/>
  <c r="J26" i="10" s="1"/>
  <c r="K26" i="10" s="1"/>
  <c r="H25" i="10"/>
  <c r="J25" i="10" a="1"/>
  <c r="J25" i="10" s="1"/>
  <c r="K25" i="10" s="1"/>
  <c r="H24" i="10"/>
  <c r="J24" i="10" a="1"/>
  <c r="J24" i="10" s="1"/>
  <c r="K24" i="10" s="1"/>
  <c r="H23" i="10"/>
  <c r="J23" i="10" a="1"/>
  <c r="J23" i="10" s="1"/>
  <c r="K23" i="10" s="1"/>
  <c r="H22" i="10"/>
  <c r="J22" i="10" a="1"/>
  <c r="J22" i="10" s="1"/>
  <c r="K22" i="10" s="1"/>
  <c r="H21" i="10"/>
  <c r="J21" i="10" a="1"/>
  <c r="J21" i="10" s="1"/>
  <c r="K21" i="10" s="1"/>
  <c r="H20" i="10"/>
  <c r="J20" i="10" a="1"/>
  <c r="J20" i="10" s="1"/>
  <c r="K20" i="10" s="1"/>
  <c r="H19" i="10"/>
  <c r="J19" i="10" a="1"/>
  <c r="J19" i="10" s="1"/>
  <c r="K19" i="10" s="1"/>
  <c r="H18" i="10"/>
  <c r="J18" i="10" a="1"/>
  <c r="J18" i="10" s="1"/>
  <c r="K18" i="10" s="1"/>
  <c r="H17" i="10"/>
  <c r="J17" i="10" a="1"/>
  <c r="J17" i="10" s="1"/>
  <c r="K17" i="10" s="1"/>
  <c r="H16" i="10"/>
  <c r="J16" i="10" a="1"/>
  <c r="J16" i="10" s="1"/>
  <c r="K16" i="10" s="1"/>
  <c r="L7" i="13"/>
  <c r="H15" i="10"/>
  <c r="J15" i="10" a="1"/>
  <c r="J15" i="10" s="1"/>
  <c r="K15" i="10" s="1"/>
  <c r="L6" i="13"/>
  <c r="H14" i="10"/>
  <c r="J14" i="10" a="1"/>
  <c r="J14" i="10" s="1"/>
  <c r="K14" i="10" s="1"/>
  <c r="H13" i="10"/>
  <c r="J13" i="10" a="1"/>
  <c r="J13" i="10" s="1"/>
  <c r="K13" i="10" s="1"/>
  <c r="H12" i="10"/>
  <c r="J12" i="10" a="1"/>
  <c r="J12" i="10" s="1"/>
  <c r="K12" i="10" s="1"/>
  <c r="F16" i="11"/>
  <c r="F20" i="11" s="1"/>
  <c r="G11" i="11"/>
  <c r="B20" i="11"/>
  <c r="B19" i="11"/>
  <c r="B18" i="11"/>
  <c r="B17" i="11"/>
  <c r="B16" i="1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4" i="11" a="1"/>
  <c r="F34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0" i="11" a="1"/>
  <c r="F40" i="11" s="1"/>
  <c r="F41" i="11" a="1"/>
  <c r="F41" i="11" s="1"/>
  <c r="F42" i="11" a="1"/>
  <c r="F42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4" i="11" a="1"/>
  <c r="D34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0" i="11" a="1"/>
  <c r="D40" i="11" s="1"/>
  <c r="D41" i="11" a="1"/>
  <c r="D41" i="11" s="1"/>
  <c r="D42" i="11" a="1"/>
  <c r="D42" i="11" s="1"/>
  <c r="C24" i="11" a="1"/>
  <c r="C24" i="11" s="1"/>
  <c r="B24" i="11" s="1"/>
  <c r="C25" i="11" a="1"/>
  <c r="C25" i="11" s="1"/>
  <c r="B25" i="11" s="1"/>
  <c r="C26" i="11" a="1"/>
  <c r="C26" i="11" s="1"/>
  <c r="B26" i="11" s="1"/>
  <c r="C27" i="11" a="1"/>
  <c r="C27" i="11" s="1"/>
  <c r="B27" i="11" s="1"/>
  <c r="C28" i="11" a="1"/>
  <c r="C28" i="11" s="1"/>
  <c r="B28" i="11" s="1"/>
  <c r="C29" i="11" a="1"/>
  <c r="C29" i="11" s="1"/>
  <c r="B29" i="11" s="1"/>
  <c r="C30" i="11" a="1"/>
  <c r="C30" i="11" s="1"/>
  <c r="B30" i="11" s="1"/>
  <c r="C31" i="11" a="1"/>
  <c r="C31" i="11" s="1"/>
  <c r="B31" i="11" s="1"/>
  <c r="C32" i="11" a="1"/>
  <c r="C32" i="11" s="1"/>
  <c r="B32" i="11" s="1"/>
  <c r="C33" i="11" a="1"/>
  <c r="C33" i="11" s="1"/>
  <c r="B33" i="11" s="1"/>
  <c r="C34" i="11" a="1"/>
  <c r="C34" i="11" s="1"/>
  <c r="B34" i="11" s="1"/>
  <c r="C35" i="11" a="1"/>
  <c r="C35" i="11" s="1"/>
  <c r="B35" i="11" s="1"/>
  <c r="C36" i="11" a="1"/>
  <c r="C36" i="11" s="1"/>
  <c r="B36" i="11" s="1"/>
  <c r="C37" i="11" a="1"/>
  <c r="C37" i="11" s="1"/>
  <c r="B37" i="11" s="1"/>
  <c r="C38" i="11" a="1"/>
  <c r="C38" i="11" s="1"/>
  <c r="B38" i="11" s="1"/>
  <c r="C39" i="11" a="1"/>
  <c r="C39" i="11" s="1"/>
  <c r="B39" i="11" s="1"/>
  <c r="C40" i="11" a="1"/>
  <c r="C40" i="11" s="1"/>
  <c r="B40" i="11" s="1"/>
  <c r="C41" i="11" a="1"/>
  <c r="C41" i="11" s="1"/>
  <c r="B41" i="11" s="1"/>
  <c r="C42" i="11" a="1"/>
  <c r="C42" i="11" s="1"/>
  <c r="B42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4" i="11" a="1"/>
  <c r="E34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0" i="11" a="1"/>
  <c r="E40" i="11" s="1"/>
  <c r="E41" i="11" a="1"/>
  <c r="E41" i="11" s="1"/>
  <c r="E42" i="11" a="1"/>
  <c r="E42" i="11" s="1"/>
  <c r="D43" i="11" a="1"/>
  <c r="D43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C43" i="11" a="1"/>
  <c r="C43" i="11" s="1"/>
  <c r="B43" i="11" s="1"/>
  <c r="C44" i="11" a="1"/>
  <c r="C44" i="11" s="1"/>
  <c r="F23" i="11" a="1"/>
  <c r="F23" i="11" s="1"/>
  <c r="E23" i="11" a="1"/>
  <c r="E23" i="11" s="1"/>
  <c r="D23" i="11" a="1"/>
  <c r="D23" i="11" s="1"/>
  <c r="C23" i="11" a="1"/>
  <c r="C23" i="11" s="1"/>
  <c r="B23" i="11" s="1"/>
  <c r="H11" i="10"/>
  <c r="J11" i="10" a="1"/>
  <c r="J11" i="10" s="1"/>
  <c r="K11" i="10" s="1"/>
  <c r="H10" i="10"/>
  <c r="J10" i="10" a="1"/>
  <c r="J10" i="10" s="1"/>
  <c r="K10" i="10" s="1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J7" i="10" a="1"/>
  <c r="J7" i="10" s="1"/>
  <c r="K7" i="10" s="1"/>
  <c r="J8" i="10" a="1"/>
  <c r="J8" i="10" s="1"/>
  <c r="K8" i="10" s="1"/>
  <c r="J9" i="10" a="1"/>
  <c r="J9" i="10" s="1"/>
  <c r="K9" i="10" s="1"/>
  <c r="J6" i="10" a="1"/>
  <c r="J6" i="10" s="1"/>
  <c r="K6" i="10" s="1"/>
  <c r="H9" i="10"/>
  <c r="H8" i="10"/>
  <c r="H6" i="10"/>
  <c r="H7" i="10"/>
  <c r="E44" i="15" l="1"/>
  <c r="E41" i="15"/>
  <c r="G35" i="11"/>
  <c r="G31" i="11"/>
  <c r="G27" i="11"/>
  <c r="G41" i="11"/>
  <c r="G33" i="11"/>
  <c r="G30" i="11"/>
  <c r="G26" i="11"/>
  <c r="G40" i="11"/>
  <c r="G28" i="11"/>
  <c r="G24" i="11"/>
  <c r="G34" i="11"/>
  <c r="G42" i="11"/>
  <c r="G38" i="11"/>
  <c r="G37" i="11"/>
  <c r="G23" i="11"/>
  <c r="F17" i="11"/>
  <c r="G29" i="11"/>
  <c r="G36" i="11"/>
  <c r="G32" i="11"/>
  <c r="G39" i="11"/>
  <c r="G25" i="11"/>
  <c r="F18" i="11"/>
  <c r="F19" i="11"/>
  <c r="H19" i="12"/>
  <c r="H20" i="12"/>
  <c r="I20" i="12" s="1"/>
  <c r="H21" i="12"/>
  <c r="I21" i="12" s="1"/>
  <c r="H22" i="12"/>
  <c r="I22" i="12" s="1"/>
  <c r="H23" i="12"/>
  <c r="I23" i="12" s="1"/>
  <c r="H24" i="12"/>
  <c r="I24" i="12" s="1"/>
  <c r="H25" i="12"/>
  <c r="I25" i="12" s="1"/>
  <c r="H26" i="12"/>
  <c r="I26" i="12" s="1"/>
  <c r="H27" i="12"/>
  <c r="I27" i="12" s="1"/>
  <c r="H28" i="12"/>
  <c r="I28" i="12" s="1"/>
  <c r="H29" i="12"/>
  <c r="I29" i="12" s="1"/>
  <c r="H30" i="12"/>
  <c r="I30" i="12" s="1"/>
  <c r="H31" i="12"/>
  <c r="I31" i="12" s="1"/>
  <c r="H32" i="12"/>
  <c r="I32" i="12" s="1"/>
  <c r="H7" i="12"/>
  <c r="H8" i="12"/>
  <c r="H9" i="12"/>
  <c r="H10" i="12"/>
  <c r="H11" i="12"/>
  <c r="H12" i="12"/>
  <c r="H13" i="12"/>
  <c r="H14" i="12"/>
  <c r="H15" i="12"/>
  <c r="H16" i="12"/>
  <c r="H17" i="12"/>
  <c r="H18" i="12"/>
  <c r="H6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E40" i="15" l="1"/>
  <c r="G44" i="11"/>
  <c r="E27" i="14"/>
  <c r="I27" i="14" s="1"/>
  <c r="E25" i="14"/>
  <c r="I25" i="14" s="1"/>
  <c r="E21" i="14"/>
  <c r="I21" i="14" s="1"/>
  <c r="E20" i="14"/>
  <c r="I20" i="14" s="1"/>
  <c r="E17" i="14"/>
  <c r="I17" i="14" s="1"/>
  <c r="E19" i="14"/>
  <c r="I19" i="14" s="1"/>
  <c r="I28" i="14"/>
  <c r="I29" i="14"/>
  <c r="I30" i="14"/>
  <c r="I31" i="14"/>
  <c r="B23" i="14"/>
  <c r="B24" i="14"/>
  <c r="B25" i="14"/>
  <c r="B26" i="14"/>
  <c r="B27" i="14"/>
  <c r="B28" i="14"/>
  <c r="B29" i="14"/>
  <c r="B30" i="14"/>
  <c r="B31" i="14"/>
  <c r="I19" i="12"/>
  <c r="I7" i="14"/>
  <c r="I8" i="14"/>
  <c r="I9" i="14"/>
  <c r="I10" i="14"/>
  <c r="I11" i="14"/>
  <c r="I12" i="14"/>
  <c r="I13" i="14"/>
  <c r="I14" i="14"/>
  <c r="I15" i="14"/>
  <c r="I16" i="14"/>
  <c r="I18" i="14"/>
  <c r="I6" i="14"/>
  <c r="E21" i="15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E20" i="15"/>
  <c r="E42" i="15" l="1"/>
  <c r="E23" i="14"/>
  <c r="E24" i="14" s="1"/>
  <c r="I24" i="14" s="1"/>
  <c r="E22" i="14"/>
  <c r="G45" i="11"/>
  <c r="G46" i="11" s="1"/>
  <c r="I23" i="14" l="1"/>
  <c r="E26" i="14"/>
  <c r="I26" i="14" s="1"/>
  <c r="I22" i="14"/>
</calcChain>
</file>

<file path=xl/sharedStrings.xml><?xml version="1.0" encoding="utf-8"?>
<sst xmlns="http://schemas.openxmlformats.org/spreadsheetml/2006/main" count="1082" uniqueCount="338">
  <si>
    <t>Navigation</t>
  </si>
  <si>
    <t>Page 1</t>
  </si>
  <si>
    <t>Page 2</t>
  </si>
  <si>
    <t>Page 3</t>
  </si>
  <si>
    <t>Page 4</t>
  </si>
  <si>
    <t>Page 5</t>
  </si>
  <si>
    <t>Page 6</t>
  </si>
  <si>
    <t>Page 7</t>
  </si>
  <si>
    <t>Page 8</t>
  </si>
  <si>
    <t>Article</t>
  </si>
  <si>
    <t>Commande</t>
  </si>
  <si>
    <t>Bon</t>
  </si>
  <si>
    <t>Booking</t>
  </si>
  <si>
    <t>Fournisseur</t>
  </si>
  <si>
    <t>Client</t>
  </si>
  <si>
    <t>Configuration</t>
  </si>
  <si>
    <t>Couleurs</t>
  </si>
  <si>
    <t>Background</t>
  </si>
  <si>
    <t>page</t>
  </si>
  <si>
    <t>Nr Article</t>
  </si>
  <si>
    <t>Nom</t>
  </si>
  <si>
    <t>Description</t>
  </si>
  <si>
    <t>Prix Unité</t>
  </si>
  <si>
    <t>stock</t>
  </si>
  <si>
    <t>Valeur Stock</t>
  </si>
  <si>
    <t>Stock min</t>
  </si>
  <si>
    <t>Flag</t>
  </si>
  <si>
    <t>Statut</t>
  </si>
  <si>
    <t>Active</t>
  </si>
  <si>
    <t>ART-</t>
  </si>
  <si>
    <t>ORD-</t>
  </si>
  <si>
    <t>ART-00001</t>
  </si>
  <si>
    <t>Nr commande</t>
  </si>
  <si>
    <t>Date</t>
  </si>
  <si>
    <t>Nr article</t>
  </si>
  <si>
    <t>Nombre</t>
  </si>
  <si>
    <t>Prix</t>
  </si>
  <si>
    <t>Prix total</t>
  </si>
  <si>
    <t>ART-00003</t>
  </si>
  <si>
    <t>ART-00004</t>
  </si>
  <si>
    <t>ART-00005</t>
  </si>
  <si>
    <t>ART-00006</t>
  </si>
  <si>
    <t>ART-00007</t>
  </si>
  <si>
    <t>ART-00008</t>
  </si>
  <si>
    <t>ART-00009</t>
  </si>
  <si>
    <t>ART-00010</t>
  </si>
  <si>
    <t>ART-00011</t>
  </si>
  <si>
    <t>ART-00012</t>
  </si>
  <si>
    <t>ART-00013</t>
  </si>
  <si>
    <t>ART-00014</t>
  </si>
  <si>
    <t>ART-00015</t>
  </si>
  <si>
    <t>Adresse</t>
  </si>
  <si>
    <t>Code postal</t>
  </si>
  <si>
    <t>Ville</t>
  </si>
  <si>
    <t>Pays</t>
  </si>
  <si>
    <t>Telephone</t>
  </si>
  <si>
    <t>Mail</t>
  </si>
  <si>
    <t>Group</t>
  </si>
  <si>
    <t>Adresse 1</t>
  </si>
  <si>
    <t>Adresse 2</t>
  </si>
  <si>
    <t>Adresse 3</t>
  </si>
  <si>
    <t>Adresse 4</t>
  </si>
  <si>
    <t>Adresse 5</t>
  </si>
  <si>
    <t>Adresse 6</t>
  </si>
  <si>
    <t>Adresse 7</t>
  </si>
  <si>
    <t>Adresse 8</t>
  </si>
  <si>
    <t>Adresse 9</t>
  </si>
  <si>
    <t>Adresse 10</t>
  </si>
  <si>
    <t>Adresse 11</t>
  </si>
  <si>
    <t>Adresse 12</t>
  </si>
  <si>
    <t>Adresse 13</t>
  </si>
  <si>
    <t>Adresse 14</t>
  </si>
  <si>
    <t>Adresse 15</t>
  </si>
  <si>
    <t>Dakar</t>
  </si>
  <si>
    <t>Sénégal</t>
  </si>
  <si>
    <t>77 257 29 64</t>
  </si>
  <si>
    <t>78 257 29 64</t>
  </si>
  <si>
    <t>79 257 29 64</t>
  </si>
  <si>
    <t>80 257 29 64</t>
  </si>
  <si>
    <t>81 257 29 64</t>
  </si>
  <si>
    <t>82 257 29 64</t>
  </si>
  <si>
    <t>83 257 29 64</t>
  </si>
  <si>
    <t>84 257 29 64</t>
  </si>
  <si>
    <t>85 257 29 64</t>
  </si>
  <si>
    <t>86 257 29 64</t>
  </si>
  <si>
    <t>87 257 29 64</t>
  </si>
  <si>
    <t>88 257 29 64</t>
  </si>
  <si>
    <t>89 257 29 64</t>
  </si>
  <si>
    <t>90 257 29 64</t>
  </si>
  <si>
    <t>91 257 29 64</t>
  </si>
  <si>
    <t>groupe1@gmail.com</t>
  </si>
  <si>
    <t>ORD-00002</t>
  </si>
  <si>
    <t>Nr.com</t>
  </si>
  <si>
    <t>rue</t>
  </si>
  <si>
    <t>code postal</t>
  </si>
  <si>
    <t>mail</t>
  </si>
  <si>
    <t>Nr.</t>
  </si>
  <si>
    <t>Total</t>
  </si>
  <si>
    <t>TVA 21%</t>
  </si>
  <si>
    <t>Total TTC</t>
  </si>
  <si>
    <t>ORD-00003</t>
  </si>
  <si>
    <t>ORD-00004</t>
  </si>
  <si>
    <t>Bon de commande</t>
  </si>
  <si>
    <t>Entreprise</t>
  </si>
  <si>
    <t>Ensae</t>
  </si>
  <si>
    <t>Tel</t>
  </si>
  <si>
    <t>conditions</t>
  </si>
  <si>
    <t>HLM</t>
  </si>
  <si>
    <t>ORD-00005</t>
  </si>
  <si>
    <t>Type</t>
  </si>
  <si>
    <t>Nr de Facture</t>
  </si>
  <si>
    <t>Nr de bon de commande</t>
  </si>
  <si>
    <t>Ranking</t>
  </si>
  <si>
    <t>BOO-</t>
  </si>
  <si>
    <t>HLM 1</t>
  </si>
  <si>
    <t>HLM 2</t>
  </si>
  <si>
    <t>HLM 3</t>
  </si>
  <si>
    <t>HLM 4</t>
  </si>
  <si>
    <t>HLM 5</t>
  </si>
  <si>
    <t>HLM 6</t>
  </si>
  <si>
    <t>HLM 7</t>
  </si>
  <si>
    <t>HLM 8</t>
  </si>
  <si>
    <t>HLM 9</t>
  </si>
  <si>
    <t>HLM 10</t>
  </si>
  <si>
    <t>HLM 11</t>
  </si>
  <si>
    <t>HLM 12</t>
  </si>
  <si>
    <t>HLM 13</t>
  </si>
  <si>
    <t>HLM 14</t>
  </si>
  <si>
    <t>HLM 15</t>
  </si>
  <si>
    <t>77 257 29 54</t>
  </si>
  <si>
    <t>78 257 29 54</t>
  </si>
  <si>
    <t>79 257 29 54</t>
  </si>
  <si>
    <t>80 257 29 54</t>
  </si>
  <si>
    <t>81 257 29 54</t>
  </si>
  <si>
    <t>82 257 29 54</t>
  </si>
  <si>
    <t>83 257 29 54</t>
  </si>
  <si>
    <t>84 257 29 54</t>
  </si>
  <si>
    <t>85 257 29 54</t>
  </si>
  <si>
    <t>86 257 29 54</t>
  </si>
  <si>
    <t>87 257 29 54</t>
  </si>
  <si>
    <t>88 257 29 54</t>
  </si>
  <si>
    <t>89 257 29 54</t>
  </si>
  <si>
    <t>90 257 29 54</t>
  </si>
  <si>
    <t>91 257 29 54</t>
  </si>
  <si>
    <t>client 1 @gmail.com</t>
  </si>
  <si>
    <t>client 2 @gmail.com</t>
  </si>
  <si>
    <t>client 3 @gmail.com</t>
  </si>
  <si>
    <t>client 4 @gmail.com</t>
  </si>
  <si>
    <t>groupe 5 @gmail.com</t>
  </si>
  <si>
    <t>groupe 6 @gmail.com</t>
  </si>
  <si>
    <t>groupe 7 @gmail.com</t>
  </si>
  <si>
    <t>groupe 8 @gmail.com</t>
  </si>
  <si>
    <t>groupe 9 @gmail.com</t>
  </si>
  <si>
    <t>groupe 10 @gmail.com</t>
  </si>
  <si>
    <t>groupe 11 @gmail.com</t>
  </si>
  <si>
    <t>groupe 12 @gmail.com</t>
  </si>
  <si>
    <t>groupe 13 @gmail.com</t>
  </si>
  <si>
    <t>groupe 14 @gmail.com</t>
  </si>
  <si>
    <t>groupe 15 @gmail.com</t>
  </si>
  <si>
    <t>Entrée</t>
  </si>
  <si>
    <t>Sortie</t>
  </si>
  <si>
    <t/>
  </si>
  <si>
    <t>check</t>
  </si>
  <si>
    <t>controle</t>
  </si>
  <si>
    <t xml:space="preserve"> </t>
  </si>
  <si>
    <t>Electrorama</t>
  </si>
  <si>
    <t>Kitchen Corner</t>
  </si>
  <si>
    <t>Mon Ménagiste</t>
  </si>
  <si>
    <t>Electroccaz</t>
  </si>
  <si>
    <t>Le Roi Domestique</t>
  </si>
  <si>
    <t>Homélectro</t>
  </si>
  <si>
    <t>Hestia Electroménager</t>
  </si>
  <si>
    <t>Frigos Chioné</t>
  </si>
  <si>
    <t>ElectroCasa</t>
  </si>
  <si>
    <t>Givrex</t>
  </si>
  <si>
    <t>Tout pour ma cuisine</t>
  </si>
  <si>
    <t>Smart Home</t>
  </si>
  <si>
    <t>ElectroCity</t>
  </si>
  <si>
    <t>Lespros</t>
  </si>
  <si>
    <t>DangadoBusiness</t>
  </si>
  <si>
    <t>Thiès</t>
  </si>
  <si>
    <t>Saint-Louis</t>
  </si>
  <si>
    <t>Diourbel</t>
  </si>
  <si>
    <t>Fatick</t>
  </si>
  <si>
    <t>Tambacounda</t>
  </si>
  <si>
    <t>Mbour</t>
  </si>
  <si>
    <t>Mickelberg</t>
  </si>
  <si>
    <t>Murray</t>
  </si>
  <si>
    <t>Macdonald</t>
  </si>
  <si>
    <t>Douglas</t>
  </si>
  <si>
    <t>Miller</t>
  </si>
  <si>
    <t>Chaparala</t>
  </si>
  <si>
    <t>Brown</t>
  </si>
  <si>
    <t>Williams</t>
  </si>
  <si>
    <t>Kennedy</t>
  </si>
  <si>
    <t>Shuldberg</t>
  </si>
  <si>
    <t>Mcintyre</t>
  </si>
  <si>
    <t>Mitchell</t>
  </si>
  <si>
    <t>Sadibou</t>
  </si>
  <si>
    <t>Chaka</t>
  </si>
  <si>
    <t>Yatabaré</t>
  </si>
  <si>
    <t>Adam</t>
  </si>
  <si>
    <t>Billingham</t>
  </si>
  <si>
    <t>HLM 16</t>
  </si>
  <si>
    <t>HLM 17</t>
  </si>
  <si>
    <t>HLM 18</t>
  </si>
  <si>
    <t>HLM 19</t>
  </si>
  <si>
    <t>HLM 20</t>
  </si>
  <si>
    <t>HLM 21</t>
  </si>
  <si>
    <t>HLM 22</t>
  </si>
  <si>
    <t>HLM 23</t>
  </si>
  <si>
    <t>HLM 24</t>
  </si>
  <si>
    <t>HLM 25</t>
  </si>
  <si>
    <t>HLM 26</t>
  </si>
  <si>
    <t>92 257 29 54</t>
  </si>
  <si>
    <t>93 257 29 54</t>
  </si>
  <si>
    <t>94 257 29 54</t>
  </si>
  <si>
    <t>95 257 29 54</t>
  </si>
  <si>
    <t>96 257 29 54</t>
  </si>
  <si>
    <t>97 257 29 54</t>
  </si>
  <si>
    <t>98 257 29 54</t>
  </si>
  <si>
    <t>99 257 29 54</t>
  </si>
  <si>
    <t>100 257 29 54</t>
  </si>
  <si>
    <t>101 257 29 54</t>
  </si>
  <si>
    <t>102 257 29 54</t>
  </si>
  <si>
    <t>Diouroubel</t>
  </si>
  <si>
    <t>Kolda</t>
  </si>
  <si>
    <t>Aspirateur </t>
  </si>
  <si>
    <t>Sèche-linge </t>
  </si>
  <si>
    <t>Machine à laver </t>
  </si>
  <si>
    <t>Bouilloire électrique </t>
  </si>
  <si>
    <t>Gant de menage </t>
  </si>
  <si>
    <t>Défroisseur a main </t>
  </si>
  <si>
    <t>Réfrigérateur </t>
  </si>
  <si>
    <t>Balai aspirateur </t>
  </si>
  <si>
    <t xml:space="preserve">Four        </t>
  </si>
  <si>
    <t>Micros ondes </t>
  </si>
  <si>
    <t xml:space="preserve">Broyeur     </t>
  </si>
  <si>
    <t xml:space="preserve">Mixeur      </t>
  </si>
  <si>
    <t>Réfrigérateur bar </t>
  </si>
  <si>
    <t>Mini hachoir électrique </t>
  </si>
  <si>
    <t xml:space="preserve">Mini hachoir manuelle     </t>
  </si>
  <si>
    <t>Congélateur-Horizontal</t>
  </si>
  <si>
    <t xml:space="preserve">Essential robot patissier            </t>
  </si>
  <si>
    <t xml:space="preserve">Batteur électrique            </t>
  </si>
  <si>
    <t xml:space="preserve">Mini hachoir à ail    </t>
  </si>
  <si>
    <t>Four a micro onde </t>
  </si>
  <si>
    <t xml:space="preserve">Chauffe-eau             </t>
  </si>
  <si>
    <t xml:space="preserve">Cuiseur de riz        </t>
  </si>
  <si>
    <t xml:space="preserve">Griffe pain             </t>
  </si>
  <si>
    <t>Nettoyeur de haute pression </t>
  </si>
  <si>
    <t xml:space="preserve">Batteuse electrique                 </t>
  </si>
  <si>
    <t xml:space="preserve">Réchaud électrique             </t>
  </si>
  <si>
    <t xml:space="preserve">Machine pop corn               </t>
  </si>
  <si>
    <t>ART-00016</t>
  </si>
  <si>
    <t>ART-00017</t>
  </si>
  <si>
    <t>ART-00018</t>
  </si>
  <si>
    <t>ART-00019</t>
  </si>
  <si>
    <t>ART-00020</t>
  </si>
  <si>
    <t>ART-00021</t>
  </si>
  <si>
    <t>ART-00022</t>
  </si>
  <si>
    <t>ART-00023</t>
  </si>
  <si>
    <t>ART-00024</t>
  </si>
  <si>
    <t>ART-00025</t>
  </si>
  <si>
    <t>ART-00026</t>
  </si>
  <si>
    <t>ART-00027</t>
  </si>
  <si>
    <t>ART-00028</t>
  </si>
  <si>
    <t>ART-00029</t>
  </si>
  <si>
    <t xml:space="preserve">Four grille-pain                </t>
  </si>
  <si>
    <t>ORD-00011</t>
  </si>
  <si>
    <t>ORD-00012</t>
  </si>
  <si>
    <t>facture5</t>
  </si>
  <si>
    <t>Date de sortie</t>
  </si>
  <si>
    <t>facture 10</t>
  </si>
  <si>
    <t>Date d'entrée</t>
  </si>
  <si>
    <t>ORD-00001</t>
  </si>
  <si>
    <t>ORD-00006</t>
  </si>
  <si>
    <t>ndiaye1@gmail.com</t>
  </si>
  <si>
    <t>ORD-00007</t>
  </si>
  <si>
    <t>ORD-00008</t>
  </si>
  <si>
    <t>ORD-00009</t>
  </si>
  <si>
    <t>2002</t>
  </si>
  <si>
    <t>ORD-00010</t>
  </si>
  <si>
    <t>facture 17</t>
  </si>
  <si>
    <t>facture 3</t>
  </si>
  <si>
    <t>facture4</t>
  </si>
  <si>
    <t>Tableau de bord</t>
  </si>
  <si>
    <t>Widget 1</t>
  </si>
  <si>
    <t>Valeur de stock</t>
  </si>
  <si>
    <t>Widget 2</t>
  </si>
  <si>
    <t>Article en commande</t>
  </si>
  <si>
    <t>Widget 3</t>
  </si>
  <si>
    <t>Widget 4</t>
  </si>
  <si>
    <t>Nombre d'article en stock</t>
  </si>
  <si>
    <t>Widget 5</t>
  </si>
  <si>
    <t>Volume du stock</t>
  </si>
  <si>
    <t>Widget 6</t>
  </si>
  <si>
    <t>Achat d'article</t>
  </si>
  <si>
    <t>BOO-001</t>
  </si>
  <si>
    <t>Facture-006</t>
  </si>
  <si>
    <t>B00-12</t>
  </si>
  <si>
    <t>Vente d'article</t>
  </si>
  <si>
    <t>FACT</t>
  </si>
  <si>
    <t>Étiquettes de lignes</t>
  </si>
  <si>
    <t>Total général</t>
  </si>
  <si>
    <t>Nombre de Achat d'article</t>
  </si>
  <si>
    <t>Somme de stock</t>
  </si>
  <si>
    <t>facture12</t>
  </si>
  <si>
    <t>facture20</t>
  </si>
  <si>
    <t>facture13</t>
  </si>
  <si>
    <t>facture18</t>
  </si>
  <si>
    <t>ORD-00013</t>
  </si>
  <si>
    <t>ORD-00014</t>
  </si>
  <si>
    <t>Société</t>
  </si>
  <si>
    <t>ORD-00015</t>
  </si>
  <si>
    <t>facture 2</t>
  </si>
  <si>
    <t>Nombre d'article critique</t>
  </si>
  <si>
    <t>Top Articles vendue</t>
  </si>
  <si>
    <t>ORD-00016</t>
  </si>
  <si>
    <t>ORD-00017</t>
  </si>
  <si>
    <t>ART-00030</t>
  </si>
  <si>
    <t>cuisiniere</t>
  </si>
  <si>
    <t>francais</t>
  </si>
  <si>
    <t>gaziniziere</t>
  </si>
  <si>
    <t>frncais</t>
  </si>
  <si>
    <t>recher</t>
  </si>
  <si>
    <t>cgg</t>
  </si>
  <si>
    <t>facture2</t>
  </si>
  <si>
    <t>FActure5</t>
  </si>
  <si>
    <t>facture</t>
  </si>
  <si>
    <t>gaz</t>
  </si>
  <si>
    <t>dd</t>
  </si>
  <si>
    <t>ORD-00018</t>
  </si>
  <si>
    <t>ORD-00019</t>
  </si>
  <si>
    <t>SIDY TRAORE</t>
  </si>
  <si>
    <t>ORD-00020</t>
  </si>
  <si>
    <t>Facture 4</t>
  </si>
  <si>
    <t>Nombre de Vente d'article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</si>
</sst>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&quot;€&quot;* #,##0_);_(&quot;€&quot;* \(#,##0\);_(&quot;€&quot;* &quot;-&quot;_);_(@_)"/>
    <numFmt numFmtId="165" formatCode="&quot;besoin&quot;"/>
    <numFmt numFmtId="166" formatCode="#,##0.00\ [$CFA-340C]"/>
    <numFmt numFmtId="167" formatCode="#,##0\ [$CFA-340C]"/>
    <numFmt numFmtId="168" formatCode="#,##0\ [$CFA-300C]"/>
    <numFmt numFmtId="169" formatCode="_-* #,##0\ &quot;CFA&quot;_-;\-* #,##0\ &quot;CFA&quot;_-;_-* &quot;-&quot;\ &quot;CFA&quot;_-;_-@_-"/>
    <numFmt numFmtId="170" formatCode="m/d/yyyy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66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66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164" fontId="7" fillId="0" borderId="0" applyFon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0" fillId="0" borderId="0" xfId="0" applyNumberFormat="1"/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4" fillId="0" borderId="0" xfId="1"/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4" fillId="0" borderId="0" xfId="1" applyAlignment="1">
      <alignment horizontal="left" vertical="center"/>
    </xf>
    <xf numFmtId="0" fontId="0" fillId="7" borderId="1" xfId="0" applyFill="1" applyBorder="1"/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0" borderId="5" xfId="0" applyBorder="1"/>
    <xf numFmtId="0" fontId="0" fillId="0" borderId="8" xfId="0" applyBorder="1"/>
    <xf numFmtId="0" fontId="6" fillId="8" borderId="9" xfId="0" applyFont="1" applyFill="1" applyBorder="1"/>
    <xf numFmtId="0" fontId="0" fillId="8" borderId="9" xfId="0" applyFill="1" applyBorder="1"/>
    <xf numFmtId="0" fontId="0" fillId="8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0" fillId="0" borderId="19" xfId="0" applyBorder="1"/>
    <xf numFmtId="0" fontId="8" fillId="3" borderId="0" xfId="0" applyFont="1" applyFill="1"/>
    <xf numFmtId="0" fontId="0" fillId="0" borderId="0" xfId="0" applyAlignment="1">
      <alignment horizontal="center"/>
    </xf>
    <xf numFmtId="0" fontId="0" fillId="7" borderId="20" xfId="0" applyFill="1" applyBorder="1"/>
    <xf numFmtId="0" fontId="0" fillId="7" borderId="21" xfId="0" applyFill="1" applyBorder="1"/>
    <xf numFmtId="169" fontId="0" fillId="7" borderId="20" xfId="2" applyNumberFormat="1" applyFont="1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Alignment="1">
      <alignment horizontal="left"/>
    </xf>
    <xf numFmtId="0" fontId="0" fillId="0" borderId="20" xfId="0" applyBorder="1"/>
    <xf numFmtId="167" fontId="0" fillId="0" borderId="6" xfId="0" applyNumberFormat="1" applyBorder="1"/>
    <xf numFmtId="167" fontId="0" fillId="0" borderId="7" xfId="0" applyNumberFormat="1" applyBorder="1"/>
    <xf numFmtId="14" fontId="0" fillId="0" borderId="20" xfId="0" applyNumberFormat="1" applyBorder="1"/>
    <xf numFmtId="0" fontId="6" fillId="0" borderId="20" xfId="0" applyFont="1" applyBorder="1"/>
    <xf numFmtId="170" fontId="0" fillId="0" borderId="0" xfId="0" applyNumberFormat="1" applyAlignment="1">
      <alignment horizontal="center" vertical="center"/>
    </xf>
    <xf numFmtId="0" fontId="0" fillId="0" borderId="0" xfId="0" applyNumberFormat="1"/>
  </cellXfs>
  <cellStyles count="3">
    <cellStyle name="Lien hypertexte" xfId="1" builtinId="8"/>
    <cellStyle name="Monétaire [0]" xfId="2" builtinId="7"/>
    <cellStyle name="Normal" xfId="0" builtinId="0"/>
  </cellStyles>
  <dxfs count="29"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m/d/yyyy"/>
      <alignment horizontal="center" vertical="center" textRotation="0" wrapText="0" indent="0" justifyLastLine="0" shrinkToFit="0" readingOrder="0"/>
    </dxf>
    <dxf>
      <numFmt numFmtId="170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168" formatCode="#,##0\ [$CFA-300C]"/>
    </dxf>
    <dxf>
      <numFmt numFmtId="167" formatCode="#,##0\ [$CFA-340C]"/>
    </dxf>
    <dxf>
      <fill>
        <patternFill>
          <bgColor rgb="FF00B050"/>
        </patternFill>
      </fill>
    </dxf>
    <dxf>
      <numFmt numFmtId="165" formatCode="&quot;besoin&quot;"/>
    </dxf>
    <dxf>
      <numFmt numFmtId="167" formatCode="#,##0\ [$CFA-340C]"/>
    </dxf>
    <dxf>
      <numFmt numFmtId="0" formatCode="General"/>
    </dxf>
    <dxf>
      <numFmt numFmtId="167" formatCode="#,##0\ [$CFA-340C]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</dxfs>
  <tableStyles count="1" defaultTableStyle="TableStyleMedium2" defaultPivotStyle="PivotStyleLight16">
    <tableStyle name="Invisible" pivot="0" table="0" count="0" xr9:uid="{6B30C32B-1638-4C59-83F3-640798D79B9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[TP_VBA_FINlsm.xlsm]Home!Tableau croisé dynamique5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des articles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Home!$J$19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Home!$I$20:$I$30</c:f>
              <c:strCache>
                <c:ptCount val="10"/>
                <c:pt idx="0">
                  <c:v>Machine à laver </c:v>
                </c:pt>
                <c:pt idx="1">
                  <c:v>Machine pop corn               </c:v>
                </c:pt>
                <c:pt idx="2">
                  <c:v>Micros ondes </c:v>
                </c:pt>
                <c:pt idx="3">
                  <c:v>Mini hachoir à ail    </c:v>
                </c:pt>
                <c:pt idx="4">
                  <c:v>Mini hachoir électrique </c:v>
                </c:pt>
                <c:pt idx="5">
                  <c:v>Mini hachoir manuelle     </c:v>
                </c:pt>
                <c:pt idx="6">
                  <c:v>Mixeur      </c:v>
                </c:pt>
                <c:pt idx="7">
                  <c:v>Nettoyeur de haute pression </c:v>
                </c:pt>
                <c:pt idx="8">
                  <c:v>Réchaud électrique             </c:v>
                </c:pt>
                <c:pt idx="9">
                  <c:v>Réfrigérateur bar </c:v>
                </c:pt>
              </c:strCache>
            </c:strRef>
          </c:cat>
          <c:val>
            <c:numRef>
              <c:f>Home!$J$20:$J$30</c:f>
              <c:numCache>
                <c:formatCode>General</c:formatCode>
                <c:ptCount val="10"/>
                <c:pt idx="0">
                  <c:v>32</c:v>
                </c:pt>
                <c:pt idx="1">
                  <c:v>226</c:v>
                </c:pt>
                <c:pt idx="2">
                  <c:v>75</c:v>
                </c:pt>
                <c:pt idx="3">
                  <c:v>36</c:v>
                </c:pt>
                <c:pt idx="4">
                  <c:v>133</c:v>
                </c:pt>
                <c:pt idx="5">
                  <c:v>172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4-4013-8BEE-665D832A93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354726255"/>
        <c:axId val="1134742175"/>
      </c:barChart>
      <c:catAx>
        <c:axId val="1354726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34742175"/>
        <c:crosses val="autoZero"/>
        <c:auto val="1"/>
        <c:lblAlgn val="ctr"/>
        <c:lblOffset val="100"/>
        <c:noMultiLvlLbl val="0"/>
      </c:catAx>
      <c:valAx>
        <c:axId val="1134742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4726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[TP_VBA_FINlsm.xlsm]Home!Tableau croisé dynamique5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des articles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Home!$J$19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Home!$I$20:$I$30</c:f>
              <c:strCache>
                <c:ptCount val="10"/>
                <c:pt idx="0">
                  <c:v>Machine à laver </c:v>
                </c:pt>
                <c:pt idx="1">
                  <c:v>Machine pop corn               </c:v>
                </c:pt>
                <c:pt idx="2">
                  <c:v>Micros ondes </c:v>
                </c:pt>
                <c:pt idx="3">
                  <c:v>Mini hachoir à ail    </c:v>
                </c:pt>
                <c:pt idx="4">
                  <c:v>Mini hachoir électrique </c:v>
                </c:pt>
                <c:pt idx="5">
                  <c:v>Mini hachoir manuelle     </c:v>
                </c:pt>
                <c:pt idx="6">
                  <c:v>Mixeur      </c:v>
                </c:pt>
                <c:pt idx="7">
                  <c:v>Nettoyeur de haute pression </c:v>
                </c:pt>
                <c:pt idx="8">
                  <c:v>Réchaud électrique             </c:v>
                </c:pt>
                <c:pt idx="9">
                  <c:v>Réfrigérateur bar </c:v>
                </c:pt>
              </c:strCache>
            </c:strRef>
          </c:cat>
          <c:val>
            <c:numRef>
              <c:f>Home!$J$20:$J$30</c:f>
              <c:numCache>
                <c:formatCode>General</c:formatCode>
                <c:ptCount val="10"/>
                <c:pt idx="0">
                  <c:v>32</c:v>
                </c:pt>
                <c:pt idx="1">
                  <c:v>226</c:v>
                </c:pt>
                <c:pt idx="2">
                  <c:v>75</c:v>
                </c:pt>
                <c:pt idx="3">
                  <c:v>36</c:v>
                </c:pt>
                <c:pt idx="4">
                  <c:v>133</c:v>
                </c:pt>
                <c:pt idx="5">
                  <c:v>172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4-4013-8BEE-665D832A93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354726255"/>
        <c:axId val="1134742175"/>
      </c:barChart>
      <c:catAx>
        <c:axId val="1354726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34742175"/>
        <c:crosses val="autoZero"/>
        <c:auto val="1"/>
        <c:lblAlgn val="ctr"/>
        <c:lblOffset val="100"/>
        <c:noMultiLvlLbl val="0"/>
      </c:catAx>
      <c:valAx>
        <c:axId val="1134742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4726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[TP_VBA_FINlsm.xlsm]Home!Tableau croisé dynamique4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achat</a:t>
            </a:r>
            <a:r>
              <a:rPr lang="en-US" baseline="0"/>
              <a:t> et vente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Home!$C$42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4AB-44C3-A8EC-B40097E7CC4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AB-44C3-A8EC-B40097E7CC4C}"/>
              </c:ext>
            </c:extLst>
          </c:dPt>
          <c:cat>
            <c:strRef>
              <c:f>Home!$B$43:$B$45</c:f>
              <c:strCache>
                <c:ptCount val="2"/>
                <c:pt idx="0">
                  <c:v>Entrée</c:v>
                </c:pt>
                <c:pt idx="1">
                  <c:v>Sortie</c:v>
                </c:pt>
              </c:strCache>
            </c:strRef>
          </c:cat>
          <c:val>
            <c:numRef>
              <c:f>Home!$C$43:$C$45</c:f>
              <c:numCache>
                <c:formatCode>General</c:formatCode>
                <c:ptCount val="2"/>
                <c:pt idx="0">
                  <c:v>50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AB-44C3-A8EC-B40097E7C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85113151"/>
        <c:axId val="921457439"/>
      </c:barChart>
      <c:catAx>
        <c:axId val="985113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1457439"/>
        <c:crosses val="autoZero"/>
        <c:auto val="1"/>
        <c:lblAlgn val="ctr"/>
        <c:lblOffset val="100"/>
        <c:noMultiLvlLbl val="0"/>
      </c:catAx>
      <c:valAx>
        <c:axId val="92145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113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2.jpeg"/><Relationship Id="rId7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hyperlink" Target="vba%5b1%5d%20%5bL%5d.pptx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82550</xdr:colOff>
      <xdr:row>12</xdr:row>
      <xdr:rowOff>76200</xdr:rowOff>
    </xdr:from>
    <xdr:to>
      <xdr:col>8</xdr:col>
      <xdr:colOff>196850</xdr:colOff>
      <xdr:row>34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Nom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49750" y="2616200"/>
              <a:ext cx="3765550" cy="4108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25400</xdr:colOff>
      <xdr:row>0</xdr:row>
      <xdr:rowOff>38100</xdr:rowOff>
    </xdr:from>
    <xdr:to>
      <xdr:col>10</xdr:col>
      <xdr:colOff>1159030</xdr:colOff>
      <xdr:row>36</xdr:row>
      <xdr:rowOff>69852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5400" y="38100"/>
          <a:ext cx="12166755" cy="7207252"/>
          <a:chOff x="0" y="0"/>
          <a:chExt cx="11791950" cy="6991352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206500" y="0"/>
            <a:ext cx="10585450" cy="463550"/>
            <a:chOff x="762000" y="66675"/>
            <a:chExt cx="10086975" cy="514350"/>
          </a:xfrm>
        </xdr:grpSpPr>
        <xdr:sp macro="" textlink="">
          <xdr:nvSpPr>
            <xdr:cNvPr id="13" name="nav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62000" y="77025"/>
              <a:ext cx="10086975" cy="504000"/>
            </a:xfrm>
            <a:prstGeom prst="rect">
              <a:avLst/>
            </a:prstGeom>
            <a:solidFill>
              <a:srgbClr val="00206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[0]!page2_Home" textlink="feuille_config!$C$8">
          <xdr:nvSpPr>
            <xdr:cNvPr id="14" name="page1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1085850" y="66675"/>
              <a:ext cx="1009650" cy="504825"/>
            </a:xfrm>
            <a:prstGeom prst="rect">
              <a:avLst/>
            </a:prstGeom>
            <a:solidFill>
              <a:srgbClr val="ED7D3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DA89B93-D646-4700-BAF0-1FC3DBF8AE41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Tableau de bord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Article" textlink="feuille_config!$C$9">
          <xdr:nvSpPr>
            <xdr:cNvPr id="15" name="page2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2190750" y="66675"/>
              <a:ext cx="981075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829866E-8CBC-4320-93DC-82B3545739B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Article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Commande" textlink="feuille_config!$C$10">
          <xdr:nvSpPr>
            <xdr:cNvPr id="16" name="page3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3276600" y="66675"/>
              <a:ext cx="1028700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75DFF56A-17C4-4CA4-98FF-7B30119CBD9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Commande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Bon" textlink="feuille_config!$C$11">
          <xdr:nvSpPr>
            <xdr:cNvPr id="17" name="page4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4419600" y="66675"/>
              <a:ext cx="942975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EC6E077B-0344-4691-929F-6D5946A344E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Bon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Booking" textlink="feuille_config!$C$12">
          <xdr:nvSpPr>
            <xdr:cNvPr id="18" name="page5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95925" y="66675"/>
              <a:ext cx="1114425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C64A94A-EF35-48A2-A3A7-643A34DDB638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Booking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Fournisseur" textlink="feuille_config!$C$13">
          <xdr:nvSpPr>
            <xdr:cNvPr id="19" name="page6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6762750" y="66675"/>
              <a:ext cx="1028700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C8903E0B-C5AA-4CB3-9967-2A27435CB702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Fournisseur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Client" textlink="feuille_config!$C$14">
          <xdr:nvSpPr>
            <xdr:cNvPr id="20" name="page7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7905750" y="66675"/>
              <a:ext cx="1123950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0DC5993B-1A98-4934-8DC9-0ADB69B7E50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Client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Configuration" textlink="feuille_config!$C$15">
          <xdr:nvSpPr>
            <xdr:cNvPr id="21" name="page8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9153524" y="66675"/>
              <a:ext cx="1152526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797A385-6F69-4D22-B49E-DD1DF96B7FD7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Configuration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33" name="Rectangle : coins arrondis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0" y="0"/>
            <a:ext cx="1536700" cy="584200"/>
          </a:xfrm>
          <a:prstGeom prst="roundRect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/>
              <a:t>Article</a:t>
            </a:r>
          </a:p>
        </xdr:txBody>
      </xdr:sp>
      <xdr:grpSp>
        <xdr:nvGrpSpPr>
          <xdr:cNvPr id="47" name="Group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5746750" y="463549"/>
            <a:ext cx="2190750" cy="2120901"/>
            <a:chOff x="7082346" y="4591049"/>
            <a:chExt cx="3652945" cy="2404156"/>
          </a:xfrm>
          <a:solidFill>
            <a:schemeClr val="tx1">
              <a:lumMod val="65000"/>
              <a:lumOff val="35000"/>
            </a:schemeClr>
          </a:solidFill>
        </xdr:grpSpPr>
        <xdr:sp macro="" textlink="">
          <xdr:nvSpPr>
            <xdr:cNvPr id="48" name="Rectangle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/>
          </xdr:nvSpPr>
          <xdr:spPr>
            <a:xfrm>
              <a:off x="7124702" y="4591049"/>
              <a:ext cx="3600001" cy="19440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ML" sz="1100"/>
            </a:p>
          </xdr:txBody>
        </xdr:sp>
        <xdr:sp macro="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7124699" y="6181725"/>
              <a:ext cx="3600000" cy="3600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ML" sz="1100"/>
            </a:p>
          </xdr:txBody>
        </xdr:sp>
        <xdr:sp macro="" textlink="feuille_config!$E$40">
          <xdr:nvSpPr>
            <xdr:cNvPr id="50" name="ZoneTexte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7082346" y="4658132"/>
              <a:ext cx="3652945" cy="2337073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1715248-DA26-4FBE-87C1-FCE04FCB61D8}" type="TxLink">
                <a:rPr lang="en-US" sz="28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104 788 334 CFA </a:t>
              </a:fld>
              <a:endParaRPr lang="fr-ML" sz="13800" b="1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  <xdr:sp macro="" textlink="$C$47">
          <xdr:nvSpPr>
            <xdr:cNvPr id="51" name="ZoneTexte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 txBox="1"/>
          </xdr:nvSpPr>
          <xdr:spPr>
            <a:xfrm>
              <a:off x="7181852" y="6229350"/>
              <a:ext cx="3495676" cy="276225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4B93F96-04C5-4A1D-BDB2-726D2BF564DC}" type="TxLink">
                <a:rPr lang="en-US" sz="16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</a:t>
              </a:fld>
              <a:endParaRPr lang="fr-ML" sz="1600" b="1">
                <a:solidFill>
                  <a:schemeClr val="bg1"/>
                </a:solidFill>
              </a:endParaRPr>
            </a:p>
          </xdr:txBody>
        </xdr:sp>
      </xdr:grpSp>
      <xdr:graphicFrame macro="">
        <xdr:nvGraphicFramePr>
          <xdr:cNvPr id="52" name="Graphiqu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GraphicFramePr/>
        </xdr:nvGraphicFramePr>
        <xdr:xfrm>
          <a:off x="0" y="482601"/>
          <a:ext cx="5715000" cy="217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58" name="Group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GrpSpPr/>
        </xdr:nvGrpSpPr>
        <xdr:grpSpPr>
          <a:xfrm>
            <a:off x="7912101" y="2387598"/>
            <a:ext cx="3847649" cy="1880717"/>
            <a:chOff x="6845301" y="9268466"/>
            <a:chExt cx="3612699" cy="1944000"/>
          </a:xfrm>
        </xdr:grpSpPr>
        <xdr:grpSp>
          <xdr:nvGrpSpPr>
            <xdr:cNvPr id="59" name="Groupe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GrpSpPr/>
          </xdr:nvGrpSpPr>
          <xdr:grpSpPr>
            <a:xfrm>
              <a:off x="6845301" y="9268466"/>
              <a:ext cx="3612699" cy="1944000"/>
              <a:chOff x="7112000" y="4610740"/>
              <a:chExt cx="3612699" cy="1944000"/>
            </a:xfrm>
          </xdr:grpSpPr>
          <xdr:sp macro="" textlink="">
            <xdr:nvSpPr>
              <xdr:cNvPr id="61" name="Rectangle 60">
                <a:extLst>
                  <a:ext uri="{FF2B5EF4-FFF2-40B4-BE49-F238E27FC236}">
                    <a16:creationId xmlns:a16="http://schemas.microsoft.com/office/drawing/2014/main" id="{00000000-0008-0000-0000-00003D000000}"/>
                  </a:ext>
                </a:extLst>
              </xdr:cNvPr>
              <xdr:cNvSpPr/>
            </xdr:nvSpPr>
            <xdr:spPr>
              <a:xfrm>
                <a:off x="7112000" y="4610740"/>
                <a:ext cx="3600000" cy="1944000"/>
              </a:xfrm>
              <a:prstGeom prst="rect">
                <a:avLst/>
              </a:prstGeom>
              <a:solidFill>
                <a:schemeClr val="tx1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62" name="Rectangle 61">
                <a:extLst>
                  <a:ext uri="{FF2B5EF4-FFF2-40B4-BE49-F238E27FC236}">
                    <a16:creationId xmlns:a16="http://schemas.microsoft.com/office/drawing/2014/main" id="{00000000-0008-0000-0000-00003E000000}"/>
                  </a:ext>
                </a:extLst>
              </xdr:cNvPr>
              <xdr:cNvSpPr/>
            </xdr:nvSpPr>
            <xdr:spPr>
              <a:xfrm>
                <a:off x="7124699" y="6181725"/>
                <a:ext cx="3600000" cy="360000"/>
              </a:xfrm>
              <a:prstGeom prst="rect">
                <a:avLst/>
              </a:prstGeom>
              <a:solidFill>
                <a:schemeClr val="bg2">
                  <a:lumMod val="50000"/>
                </a:schemeClr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E45:I45">
            <xdr:nvSpPr>
              <xdr:cNvPr id="63" name="ZoneTexte 62">
                <a:extLst>
                  <a:ext uri="{FF2B5EF4-FFF2-40B4-BE49-F238E27FC236}">
                    <a16:creationId xmlns:a16="http://schemas.microsoft.com/office/drawing/2014/main" id="{00000000-0008-0000-0000-00003F000000}"/>
                  </a:ext>
                </a:extLst>
              </xdr:cNvPr>
              <xdr:cNvSpPr txBox="1"/>
            </xdr:nvSpPr>
            <xdr:spPr>
              <a:xfrm>
                <a:off x="7247362" y="4939872"/>
                <a:ext cx="1787524" cy="990167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369D5B15-819D-4FB6-AEE3-B77FBC0F8266}" type="TxLink">
                  <a:rPr kumimoji="0" lang="en-US" sz="1800" b="0" i="0" u="none" strike="noStrike" kern="0" cap="none" spc="0" normalizeH="0" baseline="0" noProof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ART-00029</a:t>
                </a:fld>
                <a:endParaRPr kumimoji="0" lang="fr-ML" sz="40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C45">
            <xdr:nvSpPr>
              <xdr:cNvPr id="64" name="ZoneTexte 63">
                <a:extLst>
                  <a:ext uri="{FF2B5EF4-FFF2-40B4-BE49-F238E27FC236}">
                    <a16:creationId xmlns:a16="http://schemas.microsoft.com/office/drawing/2014/main" id="{00000000-0008-0000-0000-000040000000}"/>
                  </a:ext>
                </a:extLst>
              </xdr:cNvPr>
              <xdr:cNvSpPr txBox="1"/>
            </xdr:nvSpPr>
            <xdr:spPr>
              <a:xfrm>
                <a:off x="7187424" y="6196532"/>
                <a:ext cx="3495675" cy="27622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ML" sz="3200" b="1" i="0" u="none" strike="noStrike" kern="0" cap="none" spc="0" normalizeH="0" baseline="0" noProof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Nombres d'articles</a:t>
                </a:r>
              </a:p>
            </xdr:txBody>
          </xdr:sp>
        </xdr:grpSp>
        <xdr:pic>
          <xdr:nvPicPr>
            <xdr:cNvPr id="60" name="Image 5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677275" y="9458326"/>
              <a:ext cx="1514475" cy="1200150"/>
            </a:xfrm>
            <a:prstGeom prst="rect">
              <a:avLst/>
            </a:prstGeom>
          </xdr:spPr>
        </xdr:pic>
      </xdr:grpSp>
      <xdr:grpSp>
        <xdr:nvGrpSpPr>
          <xdr:cNvPr id="65" name="Groupe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GrpSpPr/>
        </xdr:nvGrpSpPr>
        <xdr:grpSpPr>
          <a:xfrm>
            <a:off x="0" y="2574923"/>
            <a:ext cx="5727351" cy="1781407"/>
            <a:chOff x="-50790" y="10810044"/>
            <a:chExt cx="4698990" cy="1944000"/>
          </a:xfrm>
        </xdr:grpSpPr>
        <xdr:grpSp>
          <xdr:nvGrpSpPr>
            <xdr:cNvPr id="66" name="Groupe 65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GrpSpPr/>
          </xdr:nvGrpSpPr>
          <xdr:grpSpPr>
            <a:xfrm>
              <a:off x="-50790" y="10810044"/>
              <a:ext cx="4698990" cy="1944000"/>
              <a:chOff x="5978534" y="4694993"/>
              <a:chExt cx="4698990" cy="1944000"/>
            </a:xfrm>
          </xdr:grpSpPr>
          <xdr:sp macro="" textlink="">
            <xdr:nvSpPr>
              <xdr:cNvPr id="68" name="Rectangle 67">
                <a:extLst>
                  <a:ext uri="{FF2B5EF4-FFF2-40B4-BE49-F238E27FC236}">
                    <a16:creationId xmlns:a16="http://schemas.microsoft.com/office/drawing/2014/main" id="{00000000-0008-0000-0000-000044000000}"/>
                  </a:ext>
                </a:extLst>
              </xdr:cNvPr>
              <xdr:cNvSpPr/>
            </xdr:nvSpPr>
            <xdr:spPr>
              <a:xfrm>
                <a:off x="5978534" y="4694993"/>
                <a:ext cx="3600000" cy="1944000"/>
              </a:xfrm>
              <a:prstGeom prst="rect">
                <a:avLst/>
              </a:prstGeom>
              <a:solidFill>
                <a:srgbClr val="7030A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69" name="Rectangle 68">
                <a:extLst>
                  <a:ext uri="{FF2B5EF4-FFF2-40B4-BE49-F238E27FC236}">
                    <a16:creationId xmlns:a16="http://schemas.microsoft.com/office/drawing/2014/main" id="{00000000-0008-0000-0000-000045000000}"/>
                  </a:ext>
                </a:extLst>
              </xdr:cNvPr>
              <xdr:cNvSpPr/>
            </xdr:nvSpPr>
            <xdr:spPr>
              <a:xfrm>
                <a:off x="5978534" y="6209443"/>
                <a:ext cx="3600000" cy="360000"/>
              </a:xfrm>
              <a:prstGeom prst="rect">
                <a:avLst/>
              </a:prstGeom>
              <a:solidFill>
                <a:srgbClr val="884475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E42">
            <xdr:nvSpPr>
              <xdr:cNvPr id="70" name="ZoneTexte 69">
                <a:extLst>
                  <a:ext uri="{FF2B5EF4-FFF2-40B4-BE49-F238E27FC236}">
                    <a16:creationId xmlns:a16="http://schemas.microsoft.com/office/drawing/2014/main" id="{00000000-0008-0000-0000-000046000000}"/>
                  </a:ext>
                </a:extLst>
              </xdr:cNvPr>
              <xdr:cNvSpPr txBox="1"/>
            </xdr:nvSpPr>
            <xdr:spPr>
              <a:xfrm>
                <a:off x="6583454" y="4987647"/>
                <a:ext cx="1838326" cy="82867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409FBB25-37B3-46C8-8142-5B1B4035384C}" type="TxLink">
                  <a:rPr kumimoji="0" lang="en-US" sz="8800" b="0" i="0" u="none" strike="noStrike" kern="0" cap="none" spc="0" normalizeH="0" baseline="0" noProof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3</a:t>
                </a:fld>
                <a:endParaRPr kumimoji="0" lang="fr-ML" sz="1481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C42">
            <xdr:nvSpPr>
              <xdr:cNvPr id="71" name="ZoneTexte 70">
                <a:extLst>
                  <a:ext uri="{FF2B5EF4-FFF2-40B4-BE49-F238E27FC236}">
                    <a16:creationId xmlns:a16="http://schemas.microsoft.com/office/drawing/2014/main" id="{00000000-0008-0000-0000-000047000000}"/>
                  </a:ext>
                </a:extLst>
              </xdr:cNvPr>
              <xdr:cNvSpPr txBox="1"/>
            </xdr:nvSpPr>
            <xdr:spPr>
              <a:xfrm>
                <a:off x="7181849" y="6229350"/>
                <a:ext cx="3495675" cy="27622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A30DAE3E-4D2C-4F4E-9B61-7A5E721D0E79}" type="TxLink">
                  <a:rPr kumimoji="0" lang="en-US" sz="1600" b="0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Nombre d'article critique</a:t>
                </a:fld>
                <a:endParaRPr kumimoji="0" lang="fr-ML" sz="36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xdr:grpSp>
        <xdr:pic>
          <xdr:nvPicPr>
            <xdr:cNvPr id="67" name="Image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092967" y="10977160"/>
              <a:ext cx="1314450" cy="1257299"/>
            </a:xfrm>
            <a:prstGeom prst="rect">
              <a:avLst/>
            </a:prstGeom>
          </xdr:spPr>
        </xdr:pic>
      </xdr:grpSp>
      <xdr:grpSp>
        <xdr:nvGrpSpPr>
          <xdr:cNvPr id="72" name="Groupe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GrpSpPr/>
        </xdr:nvGrpSpPr>
        <xdr:grpSpPr>
          <a:xfrm>
            <a:off x="7912100" y="4260850"/>
            <a:ext cx="3873789" cy="2730502"/>
            <a:chOff x="6353175" y="12030074"/>
            <a:chExt cx="3618063" cy="2723348"/>
          </a:xfrm>
        </xdr:grpSpPr>
        <xdr:grpSp>
          <xdr:nvGrpSpPr>
            <xdr:cNvPr id="73" name="Groupe 72">
              <a:extLst>
                <a:ext uri="{FF2B5EF4-FFF2-40B4-BE49-F238E27FC236}">
                  <a16:creationId xmlns:a16="http://schemas.microsoft.com/office/drawing/2014/main" id="{00000000-0008-0000-0000-000049000000}"/>
                </a:ext>
              </a:extLst>
            </xdr:cNvPr>
            <xdr:cNvGrpSpPr/>
          </xdr:nvGrpSpPr>
          <xdr:grpSpPr>
            <a:xfrm>
              <a:off x="6353175" y="12030074"/>
              <a:ext cx="3618063" cy="2723348"/>
              <a:chOff x="7124699" y="4591048"/>
              <a:chExt cx="3618063" cy="2723348"/>
            </a:xfrm>
          </xdr:grpSpPr>
          <xdr:sp macro="" textlink="">
            <xdr:nvSpPr>
              <xdr:cNvPr id="75" name="Rectangle 74">
                <a:extLst>
                  <a:ext uri="{FF2B5EF4-FFF2-40B4-BE49-F238E27FC236}">
                    <a16:creationId xmlns:a16="http://schemas.microsoft.com/office/drawing/2014/main" id="{00000000-0008-0000-0000-00004B000000}"/>
                  </a:ext>
                </a:extLst>
              </xdr:cNvPr>
              <xdr:cNvSpPr/>
            </xdr:nvSpPr>
            <xdr:spPr>
              <a:xfrm>
                <a:off x="7124700" y="4591048"/>
                <a:ext cx="3600000" cy="2425677"/>
              </a:xfrm>
              <a:prstGeom prst="rect">
                <a:avLst/>
              </a:prstGeom>
              <a:solidFill>
                <a:srgbClr val="00B0F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6" name="Rectangle 75">
                <a:extLst>
                  <a:ext uri="{FF2B5EF4-FFF2-40B4-BE49-F238E27FC236}">
                    <a16:creationId xmlns:a16="http://schemas.microsoft.com/office/drawing/2014/main" id="{00000000-0008-0000-0000-00004C000000}"/>
                  </a:ext>
                </a:extLst>
              </xdr:cNvPr>
              <xdr:cNvSpPr/>
            </xdr:nvSpPr>
            <xdr:spPr>
              <a:xfrm>
                <a:off x="7124699" y="6631394"/>
                <a:ext cx="3600000" cy="360000"/>
              </a:xfrm>
              <a:prstGeom prst="rect">
                <a:avLst/>
              </a:prstGeom>
              <a:solidFill>
                <a:schemeClr val="accent1">
                  <a:lumMod val="60000"/>
                  <a:lumOff val="40000"/>
                </a:schemeClr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E44">
            <xdr:nvSpPr>
              <xdr:cNvPr id="77" name="ZoneTexte 76">
                <a:extLst>
                  <a:ext uri="{FF2B5EF4-FFF2-40B4-BE49-F238E27FC236}">
                    <a16:creationId xmlns:a16="http://schemas.microsoft.com/office/drawing/2014/main" id="{00000000-0008-0000-0000-00004D000000}"/>
                  </a:ext>
                </a:extLst>
              </xdr:cNvPr>
              <xdr:cNvSpPr txBox="1"/>
            </xdr:nvSpPr>
            <xdr:spPr>
              <a:xfrm>
                <a:off x="7229475" y="4952999"/>
                <a:ext cx="1838326" cy="82867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6C035022-4728-443F-B5FC-F1CFD6D62D7A}" type="TxLink">
                  <a:rPr kumimoji="0" lang="en-US" sz="5400" b="0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2287</a:t>
                </a:fld>
                <a:endParaRPr kumimoji="0" lang="fr-ML" sz="496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$C$51">
            <xdr:nvSpPr>
              <xdr:cNvPr id="78" name="ZoneTexte 77">
                <a:extLst>
                  <a:ext uri="{FF2B5EF4-FFF2-40B4-BE49-F238E27FC236}">
                    <a16:creationId xmlns:a16="http://schemas.microsoft.com/office/drawing/2014/main" id="{00000000-0008-0000-0000-00004E000000}"/>
                  </a:ext>
                </a:extLst>
              </xdr:cNvPr>
              <xdr:cNvSpPr txBox="1"/>
            </xdr:nvSpPr>
            <xdr:spPr>
              <a:xfrm>
                <a:off x="7160284" y="6527018"/>
                <a:ext cx="3582478" cy="787378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25D27992-4BCA-4991-AC95-D083ECE50142}" type="TxLink">
                  <a:rPr kumimoji="0" lang="en-US" sz="1600" b="1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 </a:t>
                </a:fld>
                <a:endParaRPr kumimoji="0" lang="fr-ML" sz="24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xdr:grpSp>
        <xdr:pic>
          <xdr:nvPicPr>
            <xdr:cNvPr id="74" name="Image 73">
              <a:extLst>
                <a:ext uri="{FF2B5EF4-FFF2-40B4-BE49-F238E27FC236}">
                  <a16:creationId xmlns:a16="http://schemas.microsoft.com/office/drawing/2014/main" id="{00000000-0008-0000-00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91501" y="12220576"/>
              <a:ext cx="1457324" cy="1295400"/>
            </a:xfrm>
            <a:prstGeom prst="rect">
              <a:avLst/>
            </a:prstGeom>
          </xdr:spPr>
        </xdr:pic>
      </xdr:grpSp>
      <xdr:grpSp>
        <xdr:nvGrpSpPr>
          <xdr:cNvPr id="79" name="Groupe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GrpSpPr/>
        </xdr:nvGrpSpPr>
        <xdr:grpSpPr>
          <a:xfrm>
            <a:off x="0" y="4368803"/>
            <a:ext cx="4902018" cy="2293575"/>
            <a:chOff x="387408" y="13182844"/>
            <a:chExt cx="4033522" cy="2370749"/>
          </a:xfrm>
        </xdr:grpSpPr>
        <xdr:grpSp>
          <xdr:nvGrpSpPr>
            <xdr:cNvPr id="80" name="Groupe 79">
              <a:extLst>
                <a:ext uri="{FF2B5EF4-FFF2-40B4-BE49-F238E27FC236}">
                  <a16:creationId xmlns:a16="http://schemas.microsoft.com/office/drawing/2014/main" id="{00000000-0008-0000-0000-000050000000}"/>
                </a:ext>
              </a:extLst>
            </xdr:cNvPr>
            <xdr:cNvGrpSpPr/>
          </xdr:nvGrpSpPr>
          <xdr:grpSpPr>
            <a:xfrm>
              <a:off x="387408" y="13182844"/>
              <a:ext cx="4033522" cy="2370749"/>
              <a:chOff x="5959532" y="4696068"/>
              <a:chExt cx="4033522" cy="2370749"/>
            </a:xfrm>
          </xdr:grpSpPr>
          <xdr:sp macro="" textlink="">
            <xdr:nvSpPr>
              <xdr:cNvPr id="82" name="Rectangle 81">
                <a:extLst>
                  <a:ext uri="{FF2B5EF4-FFF2-40B4-BE49-F238E27FC236}">
                    <a16:creationId xmlns:a16="http://schemas.microsoft.com/office/drawing/2014/main" id="{00000000-0008-0000-0000-000052000000}"/>
                  </a:ext>
                </a:extLst>
              </xdr:cNvPr>
              <xdr:cNvSpPr/>
            </xdr:nvSpPr>
            <xdr:spPr>
              <a:xfrm>
                <a:off x="5964757" y="4696068"/>
                <a:ext cx="3600000" cy="2349791"/>
              </a:xfrm>
              <a:prstGeom prst="rect">
                <a:avLst/>
              </a:prstGeom>
              <a:solidFill>
                <a:schemeClr val="accent2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3" name="Rectangle 82">
                <a:extLst>
                  <a:ext uri="{FF2B5EF4-FFF2-40B4-BE49-F238E27FC236}">
                    <a16:creationId xmlns:a16="http://schemas.microsoft.com/office/drawing/2014/main" id="{00000000-0008-0000-0000-000053000000}"/>
                  </a:ext>
                </a:extLst>
              </xdr:cNvPr>
              <xdr:cNvSpPr/>
            </xdr:nvSpPr>
            <xdr:spPr>
              <a:xfrm>
                <a:off x="5959532" y="6706817"/>
                <a:ext cx="3600000" cy="360000"/>
              </a:xfrm>
              <a:prstGeom prst="rect">
                <a:avLst/>
              </a:prstGeom>
              <a:solidFill>
                <a:schemeClr val="accent2">
                  <a:lumMod val="75000"/>
                </a:schemeClr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E43">
            <xdr:nvSpPr>
              <xdr:cNvPr id="84" name="ZoneTexte 83">
                <a:extLst>
                  <a:ext uri="{FF2B5EF4-FFF2-40B4-BE49-F238E27FC236}">
                    <a16:creationId xmlns:a16="http://schemas.microsoft.com/office/drawing/2014/main" id="{00000000-0008-0000-0000-000054000000}"/>
                  </a:ext>
                </a:extLst>
              </xdr:cNvPr>
              <xdr:cNvSpPr txBox="1"/>
            </xdr:nvSpPr>
            <xdr:spPr>
              <a:xfrm>
                <a:off x="6168807" y="5163036"/>
                <a:ext cx="1838326" cy="82867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E016E7A1-FAE8-4F26-8FE8-613B97966D3C}" type="TxLink">
                  <a:rPr kumimoji="0" lang="en-US" sz="8000" b="0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31</a:t>
                </a:fld>
                <a:endParaRPr kumimoji="0" lang="fr-ML" sz="1028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$C$50">
            <xdr:nvSpPr>
              <xdr:cNvPr id="85" name="ZoneTexte 84">
                <a:extLst>
                  <a:ext uri="{FF2B5EF4-FFF2-40B4-BE49-F238E27FC236}">
                    <a16:creationId xmlns:a16="http://schemas.microsoft.com/office/drawing/2014/main" id="{00000000-0008-0000-0000-000055000000}"/>
                  </a:ext>
                </a:extLst>
              </xdr:cNvPr>
              <xdr:cNvSpPr txBox="1"/>
            </xdr:nvSpPr>
            <xdr:spPr>
              <a:xfrm>
                <a:off x="6497379" y="6728189"/>
                <a:ext cx="3495675" cy="27622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1D23B6C9-0354-466D-BC10-ECED9E9139C7}" type="TxLink">
                  <a:rPr kumimoji="0" lang="en-US" sz="1400" b="1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 </a:t>
                </a:fld>
                <a:endParaRPr kumimoji="0" lang="fr-ML" sz="20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xdr:grpSp>
        <xdr:pic>
          <xdr:nvPicPr>
            <xdr:cNvPr id="81" name="Image 80">
              <a:extLst>
                <a:ext uri="{FF2B5EF4-FFF2-40B4-BE49-F238E27FC236}">
                  <a16:creationId xmlns:a16="http://schemas.microsoft.com/office/drawing/2014/main" id="{00000000-0008-0000-0000-00005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95707" y="13352613"/>
              <a:ext cx="1447799" cy="135255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527050</xdr:colOff>
      <xdr:row>42</xdr:row>
      <xdr:rowOff>12700</xdr:rowOff>
    </xdr:from>
    <xdr:to>
      <xdr:col>5</xdr:col>
      <xdr:colOff>590550</xdr:colOff>
      <xdr:row>48</xdr:row>
      <xdr:rowOff>0</xdr:rowOff>
    </xdr:to>
    <xdr:sp macro="" textlink="">
      <xdr:nvSpPr>
        <xdr:cNvPr id="3" name="Rectangle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32250" y="8077200"/>
          <a:ext cx="1587500" cy="10922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bg1"/>
              </a:solidFill>
              <a:latin typeface="Bodoni MT" panose="02070603080606020203" pitchFamily="18" charset="0"/>
            </a:rPr>
            <a:t>Go</a:t>
          </a:r>
        </a:p>
      </xdr:txBody>
    </xdr:sp>
    <xdr:clientData/>
  </xdr:twoCellAnchor>
  <xdr:twoCellAnchor>
    <xdr:from>
      <xdr:col>0</xdr:col>
      <xdr:colOff>25400</xdr:colOff>
      <xdr:row>0</xdr:row>
      <xdr:rowOff>38100</xdr:rowOff>
    </xdr:from>
    <xdr:to>
      <xdr:col>3</xdr:col>
      <xdr:colOff>726655</xdr:colOff>
      <xdr:row>0</xdr:row>
      <xdr:rowOff>301796</xdr:rowOff>
    </xdr:to>
    <xdr:sp macro="" textlink="$C$50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400" y="38100"/>
          <a:ext cx="4202826" cy="26369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D23B6C9-0354-466D-BC10-ECED9E9139C7}" type="TxLink">
            <a:rPr kumimoji="0" lang="en-US" sz="1400" b="1" i="0" u="none" strike="noStrike" kern="0" cap="none" spc="0" normalizeH="0" baseline="0" noProof="0" smtClean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kumimoji="0" lang="fr-ML" sz="20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701255</xdr:colOff>
      <xdr:row>0</xdr:row>
      <xdr:rowOff>263696</xdr:rowOff>
    </xdr:to>
    <xdr:sp macro="" textlink="$C$50">
      <xdr:nvSpPr>
        <xdr:cNvPr id="98" name="ZoneText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/>
      </xdr:nvSpPr>
      <xdr:spPr>
        <a:xfrm>
          <a:off x="0" y="0"/>
          <a:ext cx="4202826" cy="26369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D23B6C9-0354-466D-BC10-ECED9E9139C7}" type="TxLink">
            <a:rPr kumimoji="0" lang="en-US" sz="1400" b="1" i="0" u="none" strike="noStrike" kern="0" cap="none" spc="0" normalizeH="0" baseline="0" noProof="0" smtClean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kumimoji="0" lang="fr-ML" sz="20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152400</xdr:colOff>
      <xdr:row>0</xdr:row>
      <xdr:rowOff>152400</xdr:rowOff>
    </xdr:from>
    <xdr:to>
      <xdr:col>4</xdr:col>
      <xdr:colOff>91655</xdr:colOff>
      <xdr:row>0</xdr:row>
      <xdr:rowOff>416096</xdr:rowOff>
    </xdr:to>
    <xdr:sp macro="" textlink="$C$50">
      <xdr:nvSpPr>
        <xdr:cNvPr id="99" name="ZoneText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152400" y="152400"/>
          <a:ext cx="4202826" cy="26369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D23B6C9-0354-466D-BC10-ECED9E9139C7}" type="TxLink">
            <a:rPr kumimoji="0" lang="en-US" sz="1400" b="1" i="0" u="none" strike="noStrike" kern="0" cap="none" spc="0" normalizeH="0" baseline="0" noProof="0" smtClean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kumimoji="0" lang="fr-ML" sz="20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713455</xdr:colOff>
      <xdr:row>0</xdr:row>
      <xdr:rowOff>249772</xdr:rowOff>
    </xdr:to>
    <xdr:sp macro="" textlink="feuille_config!C42">
      <xdr:nvSpPr>
        <xdr:cNvPr id="100" name="ZoneText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 txBox="1"/>
      </xdr:nvSpPr>
      <xdr:spPr>
        <a:xfrm>
          <a:off x="0" y="0"/>
          <a:ext cx="4215026" cy="24977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0DAE3E-4D2C-4F4E-9B61-7A5E721D0E79}" type="TxLink">
            <a:rPr kumimoji="0" lang="en-US" sz="1600" b="0" i="0" u="none" strike="noStrike" kern="0" cap="none" spc="0" normalizeH="0" baseline="0" noProof="0" smtClean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Nombre d'article critique</a:t>
          </a:fld>
          <a:endParaRPr kumimoji="0" lang="fr-ML" sz="36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421855</xdr:colOff>
      <xdr:row>43</xdr:row>
      <xdr:rowOff>134937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0" y="0"/>
          <a:ext cx="12740855" cy="8643937"/>
          <a:chOff x="0" y="0"/>
          <a:chExt cx="12364040" cy="8383221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1206500" y="0"/>
            <a:ext cx="10585450" cy="463550"/>
            <a:chOff x="762000" y="66675"/>
            <a:chExt cx="10086975" cy="514350"/>
          </a:xfrm>
        </xdr:grpSpPr>
        <xdr:sp macro="" textlink="">
          <xdr:nvSpPr>
            <xdr:cNvPr id="89" name="nav"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762000" y="77025"/>
              <a:ext cx="10086975" cy="504000"/>
            </a:xfrm>
            <a:prstGeom prst="rect">
              <a:avLst/>
            </a:prstGeom>
            <a:solidFill>
              <a:srgbClr val="00206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[0]!page2_Home" textlink="feuille_config!$C$8">
          <xdr:nvSpPr>
            <xdr:cNvPr id="90" name="page1"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085850" y="66675"/>
              <a:ext cx="1009650" cy="504825"/>
            </a:xfrm>
            <a:prstGeom prst="rect">
              <a:avLst/>
            </a:prstGeom>
            <a:solidFill>
              <a:srgbClr val="ED7D3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DA89B93-D646-4700-BAF0-1FC3DBF8AE41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Tableau de bord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Article" textlink="feuille_config!$C$9">
          <xdr:nvSpPr>
            <xdr:cNvPr id="91" name="page2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2190750" y="66675"/>
              <a:ext cx="981075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829866E-8CBC-4320-93DC-82B3545739B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Article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Commande" textlink="feuille_config!$C$10">
          <xdr:nvSpPr>
            <xdr:cNvPr id="92" name="page3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3276600" y="66675"/>
              <a:ext cx="1028700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75DFF56A-17C4-4CA4-98FF-7B30119CBD9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Commande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Bon" textlink="feuille_config!$C$11">
          <xdr:nvSpPr>
            <xdr:cNvPr id="93" name="page4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4419600" y="66675"/>
              <a:ext cx="942975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EC6E077B-0344-4691-929F-6D5946A344E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Bon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Booking" textlink="feuille_config!$C$12">
          <xdr:nvSpPr>
            <xdr:cNvPr id="94" name="page5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5495925" y="66675"/>
              <a:ext cx="1114425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C64A94A-EF35-48A2-A3A7-643A34DDB638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Booking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Fournisseur" textlink="feuille_config!$C$13">
          <xdr:nvSpPr>
            <xdr:cNvPr id="95" name="page6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/>
          </xdr:nvSpPr>
          <xdr:spPr>
            <a:xfrm>
              <a:off x="6762750" y="66675"/>
              <a:ext cx="1028700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C8903E0B-C5AA-4CB3-9967-2A27435CB702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Fournisseur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Client" textlink="feuille_config!$C$14">
          <xdr:nvSpPr>
            <xdr:cNvPr id="96" name="page7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7905750" y="66675"/>
              <a:ext cx="1123950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0DC5993B-1A98-4934-8DC9-0ADB69B7E509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Client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  <xdr:sp macro="[0]!page2_Configuration" textlink="feuille_config!$C$15">
          <xdr:nvSpPr>
            <xdr:cNvPr id="97" name="page8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SpPr/>
          </xdr:nvSpPr>
          <xdr:spPr>
            <a:xfrm>
              <a:off x="9153524" y="66675"/>
              <a:ext cx="1152526" cy="504825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797A385-6F69-4D22-B49E-DD1DF96B7FD7}" type="TxLink">
                <a:rPr lang="en-US" sz="11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Configuration</a:t>
              </a:fld>
              <a:endParaRPr lang="fr-FR" sz="11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7" name="Rectangle : coins arrondi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0" y="0"/>
            <a:ext cx="1536700" cy="584200"/>
          </a:xfrm>
          <a:prstGeom prst="roundRect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/>
              <a:t>Article</a:t>
            </a:r>
          </a:p>
        </xdr:txBody>
      </xdr:sp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5746748" y="463550"/>
            <a:ext cx="6023047" cy="2027781"/>
            <a:chOff x="7082342" y="4591049"/>
            <a:chExt cx="10043071" cy="2298599"/>
          </a:xfrm>
          <a:solidFill>
            <a:schemeClr val="tx1">
              <a:lumMod val="65000"/>
              <a:lumOff val="35000"/>
            </a:schemeClr>
          </a:solidFill>
        </xdr:grpSpPr>
        <xdr:sp macro="" textlink="">
          <xdr:nvSpPr>
            <xdr:cNvPr id="57" name="Rectangle 5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/>
          </xdr:nvSpPr>
          <xdr:spPr>
            <a:xfrm>
              <a:off x="7124702" y="4591049"/>
              <a:ext cx="3600001" cy="19440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ML" sz="1100"/>
            </a:p>
          </xdr:txBody>
        </xdr:sp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7124699" y="6181725"/>
              <a:ext cx="3600000" cy="360000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ML" sz="1100"/>
            </a:p>
          </xdr:txBody>
        </xdr:sp>
        <xdr:sp macro="" textlink="feuille_config!$E$40">
          <xdr:nvSpPr>
            <xdr:cNvPr id="87" name="ZoneTexte 86"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 txBox="1"/>
          </xdr:nvSpPr>
          <xdr:spPr>
            <a:xfrm>
              <a:off x="7082342" y="4658132"/>
              <a:ext cx="10043071" cy="2231516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1715248-DA26-4FBE-87C1-FCE04FCB61D8}" type="TxLink">
                <a:rPr lang="en-US" sz="4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 104 788 334 CFA </a:t>
              </a:fld>
              <a:endParaRPr lang="fr-ML" sz="28700" b="1" i="0" u="none" strike="noStrike">
                <a:solidFill>
                  <a:schemeClr val="bg1"/>
                </a:solidFill>
                <a:latin typeface="Calibri"/>
                <a:cs typeface="Calibri"/>
              </a:endParaRPr>
            </a:p>
          </xdr:txBody>
        </xdr:sp>
      </xdr:grpSp>
      <xdr:graphicFrame macro="">
        <xdr:nvGraphicFramePr>
          <xdr:cNvPr id="9" name="Graphiqu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/>
        </xdr:nvGraphicFramePr>
        <xdr:xfrm>
          <a:off x="0" y="482601"/>
          <a:ext cx="5715000" cy="217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pSp>
        <xdr:nvGrpSpPr>
          <xdr:cNvPr id="10" name="Group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7988903" y="2571280"/>
            <a:ext cx="4375137" cy="1764322"/>
            <a:chOff x="6917414" y="9458326"/>
            <a:chExt cx="4107977" cy="1823688"/>
          </a:xfrm>
        </xdr:grpSpPr>
        <xdr:grpSp>
          <xdr:nvGrpSpPr>
            <xdr:cNvPr id="44" name="Group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GrpSpPr/>
          </xdr:nvGrpSpPr>
          <xdr:grpSpPr>
            <a:xfrm>
              <a:off x="6917414" y="9630672"/>
              <a:ext cx="4107977" cy="1651342"/>
              <a:chOff x="7184113" y="4972946"/>
              <a:chExt cx="4107977" cy="1651342"/>
            </a:xfrm>
          </xdr:grpSpPr>
          <xdr:sp macro="" textlink="">
            <xdr:nvSpPr>
              <xdr:cNvPr id="54" name="Rectangle 53">
                <a:extLst>
                  <a:ext uri="{FF2B5EF4-FFF2-40B4-BE49-F238E27FC236}">
                    <a16:creationId xmlns:a16="http://schemas.microsoft.com/office/drawing/2014/main" id="{00000000-0008-0000-0000-000036000000}"/>
                  </a:ext>
                </a:extLst>
              </xdr:cNvPr>
              <xdr:cNvSpPr/>
            </xdr:nvSpPr>
            <xdr:spPr>
              <a:xfrm>
                <a:off x="7184113" y="6070303"/>
                <a:ext cx="3600000" cy="553985"/>
              </a:xfrm>
              <a:prstGeom prst="rect">
                <a:avLst/>
              </a:prstGeom>
              <a:solidFill>
                <a:schemeClr val="bg2">
                  <a:lumMod val="50000"/>
                </a:schemeClr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E45:I45">
            <xdr:nvSpPr>
              <xdr:cNvPr id="55" name="ZoneTexte 54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SpPr txBox="1"/>
            </xdr:nvSpPr>
            <xdr:spPr>
              <a:xfrm>
                <a:off x="7262215" y="4972946"/>
                <a:ext cx="1787524" cy="990167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369D5B15-819D-4FB6-AEE3-B77FBC0F8266}" type="TxLink">
                  <a:rPr kumimoji="0" lang="en-US" sz="1800" b="0" i="0" u="none" strike="noStrike" kern="0" cap="none" spc="0" normalizeH="0" baseline="0" noProof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ART-00029</a:t>
                </a:fld>
                <a:endParaRPr kumimoji="0" lang="fr-ML" sz="40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C45">
            <xdr:nvSpPr>
              <xdr:cNvPr id="56" name="ZoneTexte 55">
                <a:extLst>
                  <a:ext uri="{FF2B5EF4-FFF2-40B4-BE49-F238E27FC236}">
                    <a16:creationId xmlns:a16="http://schemas.microsoft.com/office/drawing/2014/main" id="{00000000-0008-0000-0000-000038000000}"/>
                  </a:ext>
                </a:extLst>
              </xdr:cNvPr>
              <xdr:cNvSpPr txBox="1"/>
            </xdr:nvSpPr>
            <xdr:spPr>
              <a:xfrm>
                <a:off x="7796415" y="6146921"/>
                <a:ext cx="3495675" cy="27622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ML" sz="3200" b="1" i="0" u="none" strike="noStrike" kern="0" cap="none" spc="0" normalizeH="0" baseline="0" noProof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article top</a:t>
                </a:r>
              </a:p>
            </xdr:txBody>
          </xdr:sp>
        </xdr:grpSp>
        <xdr:pic>
          <xdr:nvPicPr>
            <xdr:cNvPr id="45" name="Image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677275" y="9458326"/>
              <a:ext cx="1514475" cy="1200150"/>
            </a:xfrm>
            <a:prstGeom prst="rect">
              <a:avLst/>
            </a:prstGeom>
          </xdr:spPr>
        </xdr:pic>
      </xdr:grpSp>
      <xdr:grpSp>
        <xdr:nvGrpSpPr>
          <xdr:cNvPr id="11" name="Group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0" y="2574923"/>
            <a:ext cx="5308136" cy="1781407"/>
            <a:chOff x="-50790" y="10810044"/>
            <a:chExt cx="4355046" cy="1944000"/>
          </a:xfrm>
        </xdr:grpSpPr>
        <xdr:grpSp>
          <xdr:nvGrpSpPr>
            <xdr:cNvPr id="38" name="Group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GrpSpPr/>
          </xdr:nvGrpSpPr>
          <xdr:grpSpPr>
            <a:xfrm>
              <a:off x="-50790" y="10810044"/>
              <a:ext cx="4355046" cy="1944000"/>
              <a:chOff x="5978534" y="4694993"/>
              <a:chExt cx="4355046" cy="1944000"/>
            </a:xfrm>
          </xdr:grpSpPr>
          <xdr:sp macro="" textlink="">
            <xdr:nvSpPr>
              <xdr:cNvPr id="40" name="Rectangle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SpPr/>
            </xdr:nvSpPr>
            <xdr:spPr>
              <a:xfrm>
                <a:off x="5978534" y="4694993"/>
                <a:ext cx="3600000" cy="1944000"/>
              </a:xfrm>
              <a:prstGeom prst="rect">
                <a:avLst/>
              </a:prstGeom>
              <a:solidFill>
                <a:srgbClr val="7030A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1" name="Rectangle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SpPr/>
            </xdr:nvSpPr>
            <xdr:spPr>
              <a:xfrm>
                <a:off x="5978534" y="6209443"/>
                <a:ext cx="3600000" cy="360000"/>
              </a:xfrm>
              <a:prstGeom prst="rect">
                <a:avLst/>
              </a:prstGeom>
              <a:solidFill>
                <a:srgbClr val="884475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E42">
            <xdr:nvSpPr>
              <xdr:cNvPr id="42" name="ZoneTexte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SpPr txBox="1"/>
            </xdr:nvSpPr>
            <xdr:spPr>
              <a:xfrm>
                <a:off x="6583454" y="4987647"/>
                <a:ext cx="1838326" cy="82867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409FBB25-37B3-46C8-8142-5B1B4035384C}" type="TxLink">
                  <a:rPr kumimoji="0" lang="en-US" sz="8800" b="0" i="0" u="none" strike="noStrike" kern="0" cap="none" spc="0" normalizeH="0" baseline="0" noProof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3</a:t>
                </a:fld>
                <a:endParaRPr kumimoji="0" lang="fr-ML" sz="1481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C42">
            <xdr:nvSpPr>
              <xdr:cNvPr id="43" name="ZoneTexte 42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SpPr txBox="1"/>
            </xdr:nvSpPr>
            <xdr:spPr>
              <a:xfrm>
                <a:off x="6837905" y="6238079"/>
                <a:ext cx="3495675" cy="27622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A30DAE3E-4D2C-4F4E-9B61-7A5E721D0E79}" type="TxLink">
                  <a:rPr kumimoji="0" lang="en-US" sz="1600" b="0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Nombre d'article critique</a:t>
                </a:fld>
                <a:endParaRPr kumimoji="0" lang="fr-ML" sz="36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xdr:grpSp>
        <xdr:pic>
          <xdr:nvPicPr>
            <xdr:cNvPr id="39" name="Imag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092967" y="10977160"/>
              <a:ext cx="1314450" cy="1257299"/>
            </a:xfrm>
            <a:prstGeom prst="rect">
              <a:avLst/>
            </a:prstGeom>
          </xdr:spPr>
        </xdr:pic>
      </xdr:grp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1717348" y="4340842"/>
            <a:ext cx="10088751" cy="4042379"/>
            <a:chOff x="567366" y="12109857"/>
            <a:chExt cx="9422748" cy="4031788"/>
          </a:xfrm>
        </xdr:grpSpPr>
        <xdr:grpSp>
          <xdr:nvGrpSpPr>
            <xdr:cNvPr id="31" name="Group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/>
          </xdr:nvGrpSpPr>
          <xdr:grpSpPr>
            <a:xfrm>
              <a:off x="567366" y="12109857"/>
              <a:ext cx="9422748" cy="4031788"/>
              <a:chOff x="1338890" y="4670831"/>
              <a:chExt cx="9422748" cy="4031788"/>
            </a:xfrm>
          </xdr:grpSpPr>
          <xdr:sp macro="" textlink="">
            <xdr:nvSpPr>
              <xdr:cNvPr id="34" name="Rectangle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7100304" y="4670831"/>
                <a:ext cx="3661334" cy="2425677"/>
              </a:xfrm>
              <a:prstGeom prst="rect">
                <a:avLst/>
              </a:prstGeom>
              <a:solidFill>
                <a:srgbClr val="00B0F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5" name="Rectangle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7117312" y="6647350"/>
                <a:ext cx="3600000" cy="360000"/>
              </a:xfrm>
              <a:prstGeom prst="rect">
                <a:avLst/>
              </a:prstGeom>
              <a:solidFill>
                <a:schemeClr val="accent1">
                  <a:lumMod val="60000"/>
                  <a:lumOff val="40000"/>
                </a:schemeClr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ML" sz="18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volume du stock</a:t>
                </a:r>
              </a:p>
            </xdr:txBody>
          </xdr:sp>
          <xdr:sp macro="" textlink="feuille_config!E44">
            <xdr:nvSpPr>
              <xdr:cNvPr id="36" name="ZoneText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 txBox="1"/>
            </xdr:nvSpPr>
            <xdr:spPr>
              <a:xfrm>
                <a:off x="7229475" y="4952999"/>
                <a:ext cx="1838326" cy="82867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6C035022-4728-443F-B5FC-F1CFD6D62D7A}" type="TxLink">
                  <a:rPr kumimoji="0" lang="en-US" sz="5400" b="0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2287</a:t>
                </a:fld>
                <a:endParaRPr kumimoji="0" lang="fr-ML" sz="496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$C$51">
            <xdr:nvSpPr>
              <xdr:cNvPr id="37" name="ZoneTexte 36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SpPr txBox="1"/>
            </xdr:nvSpPr>
            <xdr:spPr>
              <a:xfrm>
                <a:off x="1338890" y="7915241"/>
                <a:ext cx="3582478" cy="787378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25D27992-4BCA-4991-AC95-D083ECE50142}" type="TxLink">
                  <a:rPr kumimoji="0" lang="en-US" sz="1600" b="1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 </a:t>
                </a:fld>
                <a:endParaRPr kumimoji="0" lang="fr-ML" sz="24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xdr:grpSp>
        <xdr:pic>
          <xdr:nvPicPr>
            <xdr:cNvPr id="32" name="Image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91501" y="12220576"/>
              <a:ext cx="1457324" cy="1295400"/>
            </a:xfrm>
            <a:prstGeom prst="rect">
              <a:avLst/>
            </a:prstGeom>
          </xdr:spPr>
        </xdr:pic>
      </xdr:grpSp>
      <xdr:grpSp>
        <xdr:nvGrpSpPr>
          <xdr:cNvPr id="23" name="Group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0" y="4368804"/>
            <a:ext cx="4381500" cy="2415703"/>
            <a:chOff x="387408" y="13182843"/>
            <a:chExt cx="3605225" cy="2496986"/>
          </a:xfrm>
        </xdr:grpSpPr>
        <xdr:grpSp>
          <xdr:nvGrpSpPr>
            <xdr:cNvPr id="24" name="Groupe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pSpPr/>
          </xdr:nvGrpSpPr>
          <xdr:grpSpPr>
            <a:xfrm>
              <a:off x="387408" y="13182843"/>
              <a:ext cx="3605225" cy="2496986"/>
              <a:chOff x="5959532" y="4696067"/>
              <a:chExt cx="3605225" cy="2496986"/>
            </a:xfrm>
          </xdr:grpSpPr>
          <xdr:sp macro="" textlink="">
            <xdr:nvSpPr>
              <xdr:cNvPr id="26" name="Rectangle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/>
            </xdr:nvSpPr>
            <xdr:spPr>
              <a:xfrm>
                <a:off x="5964757" y="4696067"/>
                <a:ext cx="3600000" cy="2496986"/>
              </a:xfrm>
              <a:prstGeom prst="rect">
                <a:avLst/>
              </a:prstGeom>
              <a:solidFill>
                <a:schemeClr val="accent2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SpPr/>
            </xdr:nvSpPr>
            <xdr:spPr>
              <a:xfrm>
                <a:off x="5959532" y="6706817"/>
                <a:ext cx="3600000" cy="360000"/>
              </a:xfrm>
              <a:prstGeom prst="rect">
                <a:avLst/>
              </a:prstGeom>
              <a:solidFill>
                <a:schemeClr val="accent2">
                  <a:lumMod val="75000"/>
                </a:schemeClr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txBody>
              <a:bodyPr vertOverflow="clip" horzOverflow="clip" rtlCol="0" anchor="t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fr-ML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feuille_config!E43">
            <xdr:nvSpPr>
              <xdr:cNvPr id="28" name="ZoneTexte 27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SpPr txBox="1"/>
            </xdr:nvSpPr>
            <xdr:spPr>
              <a:xfrm>
                <a:off x="6168807" y="5163036"/>
                <a:ext cx="1838326" cy="82867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E016E7A1-FAE8-4F26-8FE8-613B97966D3C}" type="TxLink">
                  <a:rPr kumimoji="0" lang="en-US" sz="8000" b="0" i="0" u="none" strike="noStrike" kern="0" cap="none" spc="0" normalizeH="0" baseline="0" noProof="0" smtClean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Calibri"/>
                    <a:ea typeface="+mn-ea"/>
                    <a:cs typeface="Calibri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31</a:t>
                </a:fld>
                <a:endParaRPr kumimoji="0" lang="fr-ML" sz="102800" b="1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9" name="ZoneTexte 28">
                <a:extLst>
                  <a:ext uri="{FF2B5EF4-FFF2-40B4-BE49-F238E27FC236}">
                    <a16:creationId xmlns:a16="http://schemas.microsoft.com/office/drawing/2014/main" id="{00000000-0008-0000-0000-00001D000000}"/>
                  </a:ext>
                </a:extLst>
              </xdr:cNvPr>
              <xdr:cNvSpPr txBox="1"/>
            </xdr:nvSpPr>
            <xdr:spPr>
              <a:xfrm>
                <a:off x="6004802" y="6794706"/>
                <a:ext cx="3495675" cy="276225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txBody>
              <a:bodyPr vertOverflow="clip" horzOverflow="clip" wrap="square"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b="1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/>
                    <a:ea typeface="+mn-ea"/>
                  </a:rPr>
                  <a:t> </a:t>
                </a:r>
              </a:p>
            </xdr:txBody>
          </xdr:sp>
        </xdr:grpSp>
        <xdr:pic>
          <xdr:nvPicPr>
            <xdr:cNvPr id="25" name="Imag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21740" y="13385687"/>
              <a:ext cx="1447799" cy="135255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1010104</xdr:colOff>
      <xdr:row>0</xdr:row>
      <xdr:rowOff>266334</xdr:rowOff>
    </xdr:to>
    <xdr:sp macro="" textlink="$C$47">
      <xdr:nvSpPr>
        <xdr:cNvPr id="101" name="ZoneText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/>
      </xdr:nvSpPr>
      <xdr:spPr>
        <a:xfrm>
          <a:off x="0" y="0"/>
          <a:ext cx="3495675" cy="2663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4B93F96-04C5-4A1D-BDB2-726D2BF564DC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 </a:t>
          </a:fld>
          <a:endParaRPr lang="fr-ML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222251</xdr:colOff>
      <xdr:row>32</xdr:row>
      <xdr:rowOff>119063</xdr:rowOff>
    </xdr:from>
    <xdr:to>
      <xdr:col>5</xdr:col>
      <xdr:colOff>227540</xdr:colOff>
      <xdr:row>34</xdr:row>
      <xdr:rowOff>5106</xdr:rowOff>
    </xdr:to>
    <xdr:sp macro="" textlink="feuille_config!C42">
      <xdr:nvSpPr>
        <xdr:cNvPr id="30" name="ZoneTexte 29">
          <a:extLst>
            <a:ext uri="{FF2B5EF4-FFF2-40B4-BE49-F238E27FC236}">
              <a16:creationId xmlns:a16="http://schemas.microsoft.com/office/drawing/2014/main" id="{AFF7CD40-7094-48F8-B40A-2FEAE5FD6A76}"/>
            </a:ext>
          </a:extLst>
        </xdr:cNvPr>
        <xdr:cNvSpPr txBox="1"/>
      </xdr:nvSpPr>
      <xdr:spPr>
        <a:xfrm>
          <a:off x="984251" y="6294438"/>
          <a:ext cx="4275664" cy="2511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ML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nombre d'article en stock</a:t>
          </a:r>
        </a:p>
      </xdr:txBody>
    </xdr:sp>
    <xdr:clientData/>
  </xdr:twoCellAnchor>
  <xdr:twoCellAnchor>
    <xdr:from>
      <xdr:col>0</xdr:col>
      <xdr:colOff>0</xdr:colOff>
      <xdr:row>35</xdr:row>
      <xdr:rowOff>9524</xdr:rowOff>
    </xdr:from>
    <xdr:to>
      <xdr:col>4</xdr:col>
      <xdr:colOff>325437</xdr:colOff>
      <xdr:row>52</xdr:row>
      <xdr:rowOff>134937</xdr:rowOff>
    </xdr:to>
    <xdr:graphicFrame macro="">
      <xdr:nvGraphicFramePr>
        <xdr:cNvPr id="102" name="Graphique 101">
          <a:extLst>
            <a:ext uri="{FF2B5EF4-FFF2-40B4-BE49-F238E27FC236}">
              <a16:creationId xmlns:a16="http://schemas.microsoft.com/office/drawing/2014/main" id="{05E07908-5BEE-3F22-83E2-25E0532C5D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336549</xdr:colOff>
      <xdr:row>34</xdr:row>
      <xdr:rowOff>134938</xdr:rowOff>
    </xdr:from>
    <xdr:to>
      <xdr:col>7</xdr:col>
      <xdr:colOff>1349374</xdr:colOff>
      <xdr:row>48</xdr:row>
      <xdr:rowOff>158750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3" name="Type">
              <a:extLst>
                <a:ext uri="{FF2B5EF4-FFF2-40B4-BE49-F238E27FC236}">
                  <a16:creationId xmlns:a16="http://schemas.microsoft.com/office/drawing/2014/main" id="{344C2576-F1B1-4676-1BE1-07CEAD3677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40299" y="6929438"/>
              <a:ext cx="3298825" cy="26908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0</xdr:rowOff>
        </xdr:from>
        <xdr:to>
          <xdr:col>2</xdr:col>
          <xdr:colOff>6350</xdr:colOff>
          <xdr:row>1</xdr:row>
          <xdr:rowOff>31750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12700</xdr:colOff>
      <xdr:row>0</xdr:row>
      <xdr:rowOff>0</xdr:rowOff>
    </xdr:from>
    <xdr:to>
      <xdr:col>10</xdr:col>
      <xdr:colOff>247650</xdr:colOff>
      <xdr:row>1</xdr:row>
      <xdr:rowOff>207963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774700" y="0"/>
          <a:ext cx="9815513" cy="493713"/>
          <a:chOff x="762000" y="66675"/>
          <a:chExt cx="10086975" cy="514350"/>
        </a:xfrm>
      </xdr:grpSpPr>
      <xdr:sp macro="" textlink="">
        <xdr:nvSpPr>
          <xdr:cNvPr id="13" name="nav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762000" y="77025"/>
            <a:ext cx="10086975" cy="504000"/>
          </a:xfrm>
          <a:prstGeom prst="rect">
            <a:avLst/>
          </a:prstGeom>
          <a:solidFill>
            <a:srgbClr val="00206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2_Home" textlink="feuille_config!$C$8">
        <xdr:nvSpPr>
          <xdr:cNvPr id="14" name="page1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085850" y="66675"/>
            <a:ext cx="10096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A89B93-D646-4700-BAF0-1FC3DBF8AE41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Tableau de bord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Article" textlink="feuille_config!$C$9">
        <xdr:nvSpPr>
          <xdr:cNvPr id="15" name="page2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2190750" y="66675"/>
            <a:ext cx="981075" cy="504825"/>
          </a:xfrm>
          <a:prstGeom prst="rect">
            <a:avLst/>
          </a:prstGeom>
          <a:solidFill>
            <a:srgbClr val="ED7D3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29866E-8CBC-4320-93DC-82B3545739B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mmande" textlink="feuille_config!$C$10">
        <xdr:nvSpPr>
          <xdr:cNvPr id="16" name="page3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27660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FF56A-17C4-4CA4-98FF-7B30119CBD9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n" textlink="feuille_config!$C$11">
        <xdr:nvSpPr>
          <xdr:cNvPr id="17" name="page4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4419600" y="66675"/>
            <a:ext cx="9429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6E077B-0344-4691-929F-6D5946A344E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Bon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oking" textlink="feuille_config!$C$12">
        <xdr:nvSpPr>
          <xdr:cNvPr id="18" name="page5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5495925" y="66675"/>
            <a:ext cx="111442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64A94A-EF35-48A2-A3A7-643A34DDB63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Fournisseur" textlink="feuille_config!$C$13">
        <xdr:nvSpPr>
          <xdr:cNvPr id="19" name="page6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676275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903E0B-C5AA-4CB3-9967-2A27435CB702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lient" textlink="feuille_config!$C$14">
        <xdr:nvSpPr>
          <xdr:cNvPr id="20" name="page7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7905750" y="66675"/>
            <a:ext cx="11239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C5993B-1A98-4934-8DC9-0ADB69B7E50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nfiguration" textlink="feuille_config!$C$15">
        <xdr:nvSpPr>
          <xdr:cNvPr id="21" name="page8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9153524" y="66675"/>
            <a:ext cx="1152526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97A385-6F69-4D22-B49E-DD1DF96B7FD7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Configuration</a:t>
            </a:fld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3</xdr:row>
          <xdr:rowOff>6350</xdr:rowOff>
        </xdr:from>
        <xdr:to>
          <xdr:col>2</xdr:col>
          <xdr:colOff>0</xdr:colOff>
          <xdr:row>3</xdr:row>
          <xdr:rowOff>279400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165100</xdr:rowOff>
        </xdr:from>
        <xdr:to>
          <xdr:col>1</xdr:col>
          <xdr:colOff>1117600</xdr:colOff>
          <xdr:row>3</xdr:row>
          <xdr:rowOff>266700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Commander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355600</xdr:colOff>
      <xdr:row>0</xdr:row>
      <xdr:rowOff>19050</xdr:rowOff>
    </xdr:from>
    <xdr:to>
      <xdr:col>11</xdr:col>
      <xdr:colOff>704850</xdr:colOff>
      <xdr:row>0</xdr:row>
      <xdr:rowOff>482600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17600" y="19050"/>
          <a:ext cx="9899650" cy="463550"/>
          <a:chOff x="762000" y="66675"/>
          <a:chExt cx="10086975" cy="514350"/>
        </a:xfrm>
      </xdr:grpSpPr>
      <xdr:sp macro="" textlink="">
        <xdr:nvSpPr>
          <xdr:cNvPr id="13" name="nav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762000" y="77025"/>
            <a:ext cx="10086975" cy="504000"/>
          </a:xfrm>
          <a:prstGeom prst="rect">
            <a:avLst/>
          </a:prstGeom>
          <a:solidFill>
            <a:srgbClr val="00206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2_Home" textlink="feuille_config!$C$8">
        <xdr:nvSpPr>
          <xdr:cNvPr id="14" name="page1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1085850" y="66675"/>
            <a:ext cx="10096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A89B93-D646-4700-BAF0-1FC3DBF8AE41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Tableau de bord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Article" textlink="feuille_config!$C$9">
        <xdr:nvSpPr>
          <xdr:cNvPr id="15" name="page2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2190750" y="66675"/>
            <a:ext cx="9810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29866E-8CBC-4320-93DC-82B3545739B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mmande" textlink="feuille_config!$C$10">
        <xdr:nvSpPr>
          <xdr:cNvPr id="16" name="page3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3276600" y="66675"/>
            <a:ext cx="1028700" cy="504825"/>
          </a:xfrm>
          <a:prstGeom prst="rect">
            <a:avLst/>
          </a:prstGeom>
          <a:solidFill>
            <a:srgbClr val="ED7D3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FF56A-17C4-4CA4-98FF-7B30119CBD9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n" textlink="feuille_config!$C$11">
        <xdr:nvSpPr>
          <xdr:cNvPr id="17" name="page4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4419600" y="66675"/>
            <a:ext cx="9429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6E077B-0344-4691-929F-6D5946A344E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Bon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oking" textlink="feuille_config!$C$12">
        <xdr:nvSpPr>
          <xdr:cNvPr id="18" name="page5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5495925" y="66675"/>
            <a:ext cx="111442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64A94A-EF35-48A2-A3A7-643A34DDB63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Fournisseur" textlink="feuille_config!$C$13">
        <xdr:nvSpPr>
          <xdr:cNvPr id="19" name="page6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676275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903E0B-C5AA-4CB3-9967-2A27435CB702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lient" textlink="feuille_config!$C$14">
        <xdr:nvSpPr>
          <xdr:cNvPr id="20" name="page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7905750" y="66675"/>
            <a:ext cx="11239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C5993B-1A98-4934-8DC9-0ADB69B7E50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nfiguration" textlink="feuille_config!$C$15">
        <xdr:nvSpPr>
          <xdr:cNvPr id="21" name="page8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9153524" y="66675"/>
            <a:ext cx="1152526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97A385-6F69-4D22-B49E-DD1DF96B7FD7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Configuration</a:t>
            </a:fld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11</xdr:row>
      <xdr:rowOff>149225</xdr:rowOff>
    </xdr:from>
    <xdr:to>
      <xdr:col>4</xdr:col>
      <xdr:colOff>292100</xdr:colOff>
      <xdr:row>13</xdr:row>
      <xdr:rowOff>171450</xdr:rowOff>
    </xdr:to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777875" y="2174875"/>
          <a:ext cx="3870325" cy="390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le numero suivant doit apparaitre sur toute</a:t>
          </a:r>
          <a:r>
            <a:rPr lang="fr-FR" sz="900" baseline="0"/>
            <a:t> la correspondance annexe, les papiers de livraison et les factures</a:t>
          </a:r>
          <a:endParaRPr lang="fr-FR" sz="900"/>
        </a:p>
      </xdr:txBody>
    </xdr:sp>
    <xdr:clientData/>
  </xdr:twoCellAnchor>
  <xdr:twoCellAnchor>
    <xdr:from>
      <xdr:col>1</xdr:col>
      <xdr:colOff>12700</xdr:colOff>
      <xdr:row>1</xdr:row>
      <xdr:rowOff>57150</xdr:rowOff>
    </xdr:from>
    <xdr:to>
      <xdr:col>4</xdr:col>
      <xdr:colOff>603250</xdr:colOff>
      <xdr:row>6</xdr:row>
      <xdr:rowOff>34925</xdr:rowOff>
    </xdr:to>
    <xdr:sp macro="" textlink="">
      <xdr:nvSpPr>
        <xdr:cNvPr id="2" name="ZoneTexte 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74700" y="628650"/>
          <a:ext cx="4184650" cy="898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fr-ML" sz="24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ACSY_Trading</a:t>
          </a:r>
          <a:r>
            <a:rPr lang="fr-ML" sz="2400" b="1">
              <a:solidFill>
                <a:srgbClr val="FF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_Electromenager</a:t>
          </a:r>
          <a:endParaRPr lang="fr-F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342900</xdr:colOff>
      <xdr:row>5</xdr:row>
      <xdr:rowOff>127000</xdr:rowOff>
    </xdr:from>
    <xdr:to>
      <xdr:col>7</xdr:col>
      <xdr:colOff>200025</xdr:colOff>
      <xdr:row>8</xdr:row>
      <xdr:rowOff>146050</xdr:rowOff>
    </xdr:to>
    <xdr:sp macro="" textlink="">
      <xdr:nvSpPr>
        <xdr:cNvPr id="3" name="ZoneTexte 3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699000" y="1047750"/>
          <a:ext cx="2613025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fr-ML" sz="2000" b="1">
              <a:solidFill>
                <a:srgbClr val="000000"/>
              </a:solidFill>
              <a:effectLst/>
              <a:ea typeface="Calibri" panose="020F0502020204030204" pitchFamily="34" charset="0"/>
              <a:cs typeface="Times New Roman" panose="02020603050405020304" pitchFamily="18" charset="0"/>
            </a:rPr>
            <a:t>Bon de commande</a:t>
          </a:r>
          <a:endParaRPr lang="fr-FR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12700</xdr:colOff>
      <xdr:row>0</xdr:row>
      <xdr:rowOff>6350</xdr:rowOff>
    </xdr:from>
    <xdr:to>
      <xdr:col>10</xdr:col>
      <xdr:colOff>558800</xdr:colOff>
      <xdr:row>0</xdr:row>
      <xdr:rowOff>469900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774700" y="6350"/>
          <a:ext cx="9677400" cy="463550"/>
          <a:chOff x="762000" y="66675"/>
          <a:chExt cx="10086975" cy="514350"/>
        </a:xfrm>
      </xdr:grpSpPr>
      <xdr:sp macro="" textlink="">
        <xdr:nvSpPr>
          <xdr:cNvPr id="15" name="nav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762000" y="77025"/>
            <a:ext cx="10086975" cy="504000"/>
          </a:xfrm>
          <a:prstGeom prst="rect">
            <a:avLst/>
          </a:prstGeom>
          <a:solidFill>
            <a:srgbClr val="00206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2_Home" textlink="feuille_config!$C$8">
        <xdr:nvSpPr>
          <xdr:cNvPr id="16" name="page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1085850" y="66675"/>
            <a:ext cx="10096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A89B93-D646-4700-BAF0-1FC3DBF8AE41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Tableau de bord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Article" textlink="feuille_config!$C$9">
        <xdr:nvSpPr>
          <xdr:cNvPr id="17" name="page2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2190750" y="66675"/>
            <a:ext cx="9810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29866E-8CBC-4320-93DC-82B3545739B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mmande" textlink="feuille_config!$C$10">
        <xdr:nvSpPr>
          <xdr:cNvPr id="18" name="page3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327660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FF56A-17C4-4CA4-98FF-7B30119CBD9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n" textlink="feuille_config!$C$11">
        <xdr:nvSpPr>
          <xdr:cNvPr id="19" name="page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4419600" y="66675"/>
            <a:ext cx="942975" cy="504825"/>
          </a:xfrm>
          <a:prstGeom prst="rect">
            <a:avLst/>
          </a:prstGeom>
          <a:solidFill>
            <a:srgbClr val="ED7D3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6E077B-0344-4691-929F-6D5946A344E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Bon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oking" textlink="feuille_config!$C$12">
        <xdr:nvSpPr>
          <xdr:cNvPr id="20" name="page5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5495925" y="66675"/>
            <a:ext cx="111442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64A94A-EF35-48A2-A3A7-643A34DDB63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Fournisseur" textlink="feuille_config!$C$13">
        <xdr:nvSpPr>
          <xdr:cNvPr id="21" name="page6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76275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903E0B-C5AA-4CB3-9967-2A27435CB702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lient" textlink="feuille_config!$C$14">
        <xdr:nvSpPr>
          <xdr:cNvPr id="22" name="page7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7905750" y="66675"/>
            <a:ext cx="11239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C5993B-1A98-4934-8DC9-0ADB69B7E50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nfiguration" textlink="feuille_config!$C$15">
        <xdr:nvSpPr>
          <xdr:cNvPr id="23" name="page8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/>
        </xdr:nvSpPr>
        <xdr:spPr>
          <a:xfrm>
            <a:off x="9153524" y="66675"/>
            <a:ext cx="1152526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97A385-6F69-4D22-B49E-DD1DF96B7FD7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Configuration</a:t>
            </a:fld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146050</xdr:rowOff>
        </xdr:from>
        <xdr:to>
          <xdr:col>2</xdr:col>
          <xdr:colOff>0</xdr:colOff>
          <xdr:row>3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3527</xdr:colOff>
      <xdr:row>0</xdr:row>
      <xdr:rowOff>21168</xdr:rowOff>
    </xdr:from>
    <xdr:to>
      <xdr:col>10</xdr:col>
      <xdr:colOff>1072443</xdr:colOff>
      <xdr:row>1</xdr:row>
      <xdr:rowOff>28223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765527" y="21168"/>
          <a:ext cx="9789583" cy="500944"/>
          <a:chOff x="762000" y="66675"/>
          <a:chExt cx="10086975" cy="514350"/>
        </a:xfrm>
      </xdr:grpSpPr>
      <xdr:sp macro="" textlink="">
        <xdr:nvSpPr>
          <xdr:cNvPr id="13" name="nav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762000" y="77025"/>
            <a:ext cx="10086975" cy="504000"/>
          </a:xfrm>
          <a:prstGeom prst="rect">
            <a:avLst/>
          </a:prstGeom>
          <a:solidFill>
            <a:srgbClr val="00206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 b="1"/>
          </a:p>
        </xdr:txBody>
      </xdr:sp>
      <xdr:sp macro="[0]!page2_Home" textlink="feuille_config!$C$8">
        <xdr:nvSpPr>
          <xdr:cNvPr id="14" name="page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085850" y="66675"/>
            <a:ext cx="10096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A89B93-D646-4700-BAF0-1FC3DBF8AE41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Tableau de bord</a:t>
            </a:fld>
            <a:endParaRPr lang="fr-FR" sz="1200" b="1">
              <a:solidFill>
                <a:schemeClr val="bg1"/>
              </a:solidFill>
            </a:endParaRPr>
          </a:p>
        </xdr:txBody>
      </xdr:sp>
      <xdr:sp macro="[0]!page2_Article" textlink="feuille_config!$C$9">
        <xdr:nvSpPr>
          <xdr:cNvPr id="15" name="page2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190750" y="66675"/>
            <a:ext cx="9810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29866E-8CBC-4320-93DC-82B3545739B9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200" b="1">
              <a:solidFill>
                <a:schemeClr val="bg1"/>
              </a:solidFill>
            </a:endParaRPr>
          </a:p>
        </xdr:txBody>
      </xdr:sp>
      <xdr:sp macro="[0]!page2_Commande" textlink="feuille_config!$C$10">
        <xdr:nvSpPr>
          <xdr:cNvPr id="16" name="page3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27660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FF56A-17C4-4CA4-98FF-7B30119CBD99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Commande</a:t>
            </a:fld>
            <a:endParaRPr lang="fr-FR" sz="1200" b="1">
              <a:solidFill>
                <a:schemeClr val="bg1"/>
              </a:solidFill>
            </a:endParaRPr>
          </a:p>
        </xdr:txBody>
      </xdr:sp>
      <xdr:sp macro="[0]!page2_Bon" textlink="feuille_config!$C$11">
        <xdr:nvSpPr>
          <xdr:cNvPr id="17" name="page4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4419600" y="66675"/>
            <a:ext cx="9429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6E077B-0344-4691-929F-6D5946A344E9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Bon</a:t>
            </a:fld>
            <a:endParaRPr lang="fr-FR" sz="1200" b="1">
              <a:solidFill>
                <a:schemeClr val="bg1"/>
              </a:solidFill>
            </a:endParaRPr>
          </a:p>
        </xdr:txBody>
      </xdr:sp>
      <xdr:sp macro="[0]!page2_Booking" textlink="feuille_config!$C$12">
        <xdr:nvSpPr>
          <xdr:cNvPr id="18" name="page5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495925" y="66675"/>
            <a:ext cx="1114425" cy="504825"/>
          </a:xfrm>
          <a:prstGeom prst="rect">
            <a:avLst/>
          </a:prstGeom>
          <a:solidFill>
            <a:srgbClr val="ED7D3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64A94A-EF35-48A2-A3A7-643A34DDB638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200" b="1">
              <a:solidFill>
                <a:schemeClr val="bg1"/>
              </a:solidFill>
            </a:endParaRPr>
          </a:p>
        </xdr:txBody>
      </xdr:sp>
      <xdr:sp macro="[0]!page2_Fournisseur" textlink="feuille_config!$C$13">
        <xdr:nvSpPr>
          <xdr:cNvPr id="19" name="page6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676275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903E0B-C5AA-4CB3-9967-2A27435CB70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200" b="1">
              <a:solidFill>
                <a:schemeClr val="bg1"/>
              </a:solidFill>
            </a:endParaRPr>
          </a:p>
        </xdr:txBody>
      </xdr:sp>
      <xdr:sp macro="[0]!page2_Client" textlink="feuille_config!$C$14">
        <xdr:nvSpPr>
          <xdr:cNvPr id="20" name="page7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7905750" y="66675"/>
            <a:ext cx="11239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C5993B-1A98-4934-8DC9-0ADB69B7E509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200" b="1">
              <a:solidFill>
                <a:schemeClr val="bg1"/>
              </a:solidFill>
            </a:endParaRPr>
          </a:p>
        </xdr:txBody>
      </xdr:sp>
      <xdr:sp macro="[0]!page2_Configuration" textlink="feuille_config!$C$15">
        <xdr:nvSpPr>
          <xdr:cNvPr id="21" name="page8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9153524" y="66675"/>
            <a:ext cx="1152526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97A385-6F69-4D22-B49E-DD1DF96B7FD7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Configuration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0</xdr:row>
      <xdr:rowOff>0</xdr:rowOff>
    </xdr:from>
    <xdr:to>
      <xdr:col>10</xdr:col>
      <xdr:colOff>730250</xdr:colOff>
      <xdr:row>0</xdr:row>
      <xdr:rowOff>463550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768350" y="0"/>
          <a:ext cx="9740900" cy="463550"/>
          <a:chOff x="762000" y="66675"/>
          <a:chExt cx="10086975" cy="514350"/>
        </a:xfrm>
      </xdr:grpSpPr>
      <xdr:sp macro="" textlink="">
        <xdr:nvSpPr>
          <xdr:cNvPr id="13" name="nav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762000" y="77025"/>
            <a:ext cx="10086975" cy="504000"/>
          </a:xfrm>
          <a:prstGeom prst="rect">
            <a:avLst/>
          </a:prstGeom>
          <a:solidFill>
            <a:srgbClr val="00206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2_Home" textlink="feuille_config!$C$8">
        <xdr:nvSpPr>
          <xdr:cNvPr id="14" name="page1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085850" y="66675"/>
            <a:ext cx="10096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A89B93-D646-4700-BAF0-1FC3DBF8AE41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Tableau de bord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Article" textlink="feuille_config!$C$9">
        <xdr:nvSpPr>
          <xdr:cNvPr id="15" name="page2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2190750" y="66675"/>
            <a:ext cx="9810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29866E-8CBC-4320-93DC-82B3545739B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mmande" textlink="feuille_config!$C$10">
        <xdr:nvSpPr>
          <xdr:cNvPr id="16" name="page3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27660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FF56A-17C4-4CA4-98FF-7B30119CBD9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n" textlink="feuille_config!$C$11">
        <xdr:nvSpPr>
          <xdr:cNvPr id="17" name="page4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419600" y="66675"/>
            <a:ext cx="9429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6E077B-0344-4691-929F-6D5946A344E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Bon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oking" textlink="feuille_config!$C$12">
        <xdr:nvSpPr>
          <xdr:cNvPr id="18" name="page5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5495925" y="66675"/>
            <a:ext cx="111442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64A94A-EF35-48A2-A3A7-643A34DDB63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Fournisseur" textlink="feuille_config!$C$13">
        <xdr:nvSpPr>
          <xdr:cNvPr id="19" name="page6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/>
        </xdr:nvSpPr>
        <xdr:spPr>
          <a:xfrm>
            <a:off x="6762750" y="66675"/>
            <a:ext cx="1028700" cy="504825"/>
          </a:xfrm>
          <a:prstGeom prst="rect">
            <a:avLst/>
          </a:prstGeom>
          <a:solidFill>
            <a:srgbClr val="ED7D3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903E0B-C5AA-4CB3-9967-2A27435CB702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lient" textlink="feuille_config!$C$14">
        <xdr:nvSpPr>
          <xdr:cNvPr id="20" name="page7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7905750" y="66675"/>
            <a:ext cx="11239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C5993B-1A98-4934-8DC9-0ADB69B7E50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nfiguration" textlink="feuille_config!$C$15">
        <xdr:nvSpPr>
          <xdr:cNvPr id="21" name="page8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9153524" y="66675"/>
            <a:ext cx="1152526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97A385-6F69-4D22-B49E-DD1DF96B7FD7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Configuration</a:t>
            </a:fld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0</xdr:row>
      <xdr:rowOff>0</xdr:rowOff>
    </xdr:from>
    <xdr:to>
      <xdr:col>11</xdr:col>
      <xdr:colOff>0</xdr:colOff>
      <xdr:row>1</xdr:row>
      <xdr:rowOff>12700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pSpPr/>
      </xdr:nvGrpSpPr>
      <xdr:grpSpPr>
        <a:xfrm>
          <a:off x="774700" y="0"/>
          <a:ext cx="9537700" cy="482600"/>
          <a:chOff x="762000" y="66675"/>
          <a:chExt cx="10086975" cy="514350"/>
        </a:xfrm>
      </xdr:grpSpPr>
      <xdr:sp macro="" textlink="">
        <xdr:nvSpPr>
          <xdr:cNvPr id="15" name="nav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762000" y="77025"/>
            <a:ext cx="10086975" cy="504000"/>
          </a:xfrm>
          <a:prstGeom prst="rect">
            <a:avLst/>
          </a:prstGeom>
          <a:solidFill>
            <a:srgbClr val="00206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2_Home" textlink="feuille_config!$C$8">
        <xdr:nvSpPr>
          <xdr:cNvPr id="16" name="page1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1085850" y="66675"/>
            <a:ext cx="10096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A89B93-D646-4700-BAF0-1FC3DBF8AE41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Tableau de bord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Article" textlink="feuille_config!$C$9">
        <xdr:nvSpPr>
          <xdr:cNvPr id="17" name="page2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2190750" y="66675"/>
            <a:ext cx="9810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29866E-8CBC-4320-93DC-82B3545739B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mmande" textlink="feuille_config!$C$10">
        <xdr:nvSpPr>
          <xdr:cNvPr id="18" name="page3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327660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FF56A-17C4-4CA4-98FF-7B30119CBD9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n" textlink="feuille_config!$C$11">
        <xdr:nvSpPr>
          <xdr:cNvPr id="19" name="page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419600" y="66675"/>
            <a:ext cx="9429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6E077B-0344-4691-929F-6D5946A344E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Bon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oking" textlink="feuille_config!$C$12">
        <xdr:nvSpPr>
          <xdr:cNvPr id="20" name="page5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5495925" y="66675"/>
            <a:ext cx="111442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64A94A-EF35-48A2-A3A7-643A34DDB63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Fournisseur" textlink="feuille_config!$C$13">
        <xdr:nvSpPr>
          <xdr:cNvPr id="21" name="page6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76275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903E0B-C5AA-4CB3-9967-2A27435CB702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lient" textlink="feuille_config!$C$14">
        <xdr:nvSpPr>
          <xdr:cNvPr id="22" name="page7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7905750" y="66675"/>
            <a:ext cx="1123950" cy="504825"/>
          </a:xfrm>
          <a:prstGeom prst="rect">
            <a:avLst/>
          </a:prstGeom>
          <a:solidFill>
            <a:srgbClr val="ED7D3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C5993B-1A98-4934-8DC9-0ADB69B7E50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nfiguration" textlink="feuille_config!$C$15">
        <xdr:nvSpPr>
          <xdr:cNvPr id="23" name="page8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/>
        </xdr:nvSpPr>
        <xdr:spPr>
          <a:xfrm>
            <a:off x="9153524" y="66675"/>
            <a:ext cx="1152526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97A385-6F69-4D22-B49E-DD1DF96B7FD7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Configuration</a:t>
            </a:fld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11</xdr:col>
      <xdr:colOff>0</xdr:colOff>
      <xdr:row>0</xdr:row>
      <xdr:rowOff>495300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762000" y="0"/>
          <a:ext cx="9188450" cy="495300"/>
          <a:chOff x="762000" y="66675"/>
          <a:chExt cx="10086975" cy="514350"/>
        </a:xfrm>
      </xdr:grpSpPr>
      <xdr:sp macro="" textlink="">
        <xdr:nvSpPr>
          <xdr:cNvPr id="3" name="nav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762000" y="77025"/>
            <a:ext cx="10086975" cy="504000"/>
          </a:xfrm>
          <a:prstGeom prst="rect">
            <a:avLst/>
          </a:prstGeom>
          <a:solidFill>
            <a:srgbClr val="00206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2_Home" textlink="feuille_config!$C$8">
        <xdr:nvSpPr>
          <xdr:cNvPr id="4" name="page1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085850" y="66675"/>
            <a:ext cx="10096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A89B93-D646-4700-BAF0-1FC3DBF8AE41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Tableau de bord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Article" textlink="feuille_config!$C$9">
        <xdr:nvSpPr>
          <xdr:cNvPr id="5" name="page2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2190750" y="66675"/>
            <a:ext cx="9810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829866E-8CBC-4320-93DC-82B3545739B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Article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mmande" textlink="feuille_config!$C$10">
        <xdr:nvSpPr>
          <xdr:cNvPr id="6" name="page3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27660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FF56A-17C4-4CA4-98FF-7B30119CBD9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Commande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n" textlink="feuille_config!$C$11">
        <xdr:nvSpPr>
          <xdr:cNvPr id="7" name="page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4419600" y="66675"/>
            <a:ext cx="94297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6E077B-0344-4691-929F-6D5946A344E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Bon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Booking" textlink="feuille_config!$C$12">
        <xdr:nvSpPr>
          <xdr:cNvPr id="8" name="page5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5495925" y="66675"/>
            <a:ext cx="1114425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64A94A-EF35-48A2-A3A7-643A34DDB63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Booking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Fournisseur" textlink="feuille_config!$C$13">
        <xdr:nvSpPr>
          <xdr:cNvPr id="9" name="page6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6762750" y="66675"/>
            <a:ext cx="102870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903E0B-C5AA-4CB3-9967-2A27435CB702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Fournisseur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lient" textlink="feuille_config!$C$14">
        <xdr:nvSpPr>
          <xdr:cNvPr id="10" name="page7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7905750" y="66675"/>
            <a:ext cx="1123950" cy="504825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C5993B-1A98-4934-8DC9-0ADB69B7E509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Client</a:t>
            </a:fld>
            <a:endParaRPr lang="fr-FR" sz="1100" b="1">
              <a:solidFill>
                <a:schemeClr val="bg1"/>
              </a:solidFill>
            </a:endParaRPr>
          </a:p>
        </xdr:txBody>
      </xdr:sp>
      <xdr:sp macro="[0]!page2_Configuration" textlink="feuille_config!$C$15">
        <xdr:nvSpPr>
          <xdr:cNvPr id="11" name="page8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9153524" y="66675"/>
            <a:ext cx="1152526" cy="504825"/>
          </a:xfrm>
          <a:prstGeom prst="rect">
            <a:avLst/>
          </a:prstGeom>
          <a:solidFill>
            <a:srgbClr val="ED7D3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97A385-6F69-4D22-B49E-DD1DF96B7FD7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Configuration</a:t>
            </a:fld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0</xdr:colOff>
      <xdr:row>8</xdr:row>
      <xdr:rowOff>0</xdr:rowOff>
    </xdr:from>
    <xdr:to>
      <xdr:col>9</xdr:col>
      <xdr:colOff>216000</xdr:colOff>
      <xdr:row>8</xdr:row>
      <xdr:rowOff>180000</xdr:rowOff>
    </xdr:to>
    <xdr:sp macro="[0]!couleur_fond1" textlink="">
      <xdr:nvSpPr>
        <xdr:cNvPr id="12" name="bcolor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7524750" y="1524000"/>
          <a:ext cx="216000" cy="180000"/>
        </a:xfrm>
        <a:prstGeom prst="rect">
          <a:avLst/>
        </a:prstGeom>
        <a:solidFill>
          <a:schemeClr val="tx1"/>
        </a:solidFill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250725</xdr:colOff>
      <xdr:row>8</xdr:row>
      <xdr:rowOff>975</xdr:rowOff>
    </xdr:from>
    <xdr:to>
      <xdr:col>9</xdr:col>
      <xdr:colOff>466725</xdr:colOff>
      <xdr:row>8</xdr:row>
      <xdr:rowOff>180975</xdr:rowOff>
    </xdr:to>
    <xdr:sp macro="[0]!couleur_fond2" textlink="">
      <xdr:nvSpPr>
        <xdr:cNvPr id="13" name="bcolor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7775475" y="1524975"/>
          <a:ext cx="216000" cy="180000"/>
        </a:xfrm>
        <a:prstGeom prst="rect">
          <a:avLst/>
        </a:prstGeom>
        <a:solidFill>
          <a:srgbClr val="00B05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485775</xdr:colOff>
      <xdr:row>8</xdr:row>
      <xdr:rowOff>975</xdr:rowOff>
    </xdr:from>
    <xdr:to>
      <xdr:col>9</xdr:col>
      <xdr:colOff>701775</xdr:colOff>
      <xdr:row>8</xdr:row>
      <xdr:rowOff>180975</xdr:rowOff>
    </xdr:to>
    <xdr:sp macro="[0]!couleur_fond3" textlink="">
      <xdr:nvSpPr>
        <xdr:cNvPr id="14" name="bcolor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8010525" y="1524975"/>
          <a:ext cx="216000" cy="180000"/>
        </a:xfrm>
        <a:prstGeom prst="rect">
          <a:avLst/>
        </a:prstGeom>
        <a:solidFill>
          <a:srgbClr val="7030A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695325</xdr:colOff>
      <xdr:row>8</xdr:row>
      <xdr:rowOff>0</xdr:rowOff>
    </xdr:from>
    <xdr:to>
      <xdr:col>10</xdr:col>
      <xdr:colOff>35025</xdr:colOff>
      <xdr:row>8</xdr:row>
      <xdr:rowOff>180000</xdr:rowOff>
    </xdr:to>
    <xdr:sp macro="[0]!couleur_fond4" textlink="">
      <xdr:nvSpPr>
        <xdr:cNvPr id="15" name="bcolor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220075" y="1524000"/>
          <a:ext cx="216000" cy="180000"/>
        </a:xfrm>
        <a:prstGeom prst="rect">
          <a:avLst/>
        </a:prstGeom>
        <a:solidFill>
          <a:srgbClr val="00206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60225</xdr:colOff>
      <xdr:row>8</xdr:row>
      <xdr:rowOff>0</xdr:rowOff>
    </xdr:from>
    <xdr:to>
      <xdr:col>10</xdr:col>
      <xdr:colOff>276225</xdr:colOff>
      <xdr:row>8</xdr:row>
      <xdr:rowOff>180000</xdr:rowOff>
    </xdr:to>
    <xdr:sp macro="[0]!couleur_fond5" textlink="">
      <xdr:nvSpPr>
        <xdr:cNvPr id="16" name="bcolor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8461275" y="1524000"/>
          <a:ext cx="216000" cy="180000"/>
        </a:xfrm>
        <a:prstGeom prst="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885824</xdr:colOff>
      <xdr:row>10</xdr:row>
      <xdr:rowOff>0</xdr:rowOff>
    </xdr:from>
    <xdr:to>
      <xdr:col>9</xdr:col>
      <xdr:colOff>215999</xdr:colOff>
      <xdr:row>10</xdr:row>
      <xdr:rowOff>180000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7524749" y="1905000"/>
          <a:ext cx="216000" cy="180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9</xdr:col>
      <xdr:colOff>216000</xdr:colOff>
      <xdr:row>10</xdr:row>
      <xdr:rowOff>180000</xdr:rowOff>
    </xdr:to>
    <xdr:sp macro="[0]!couleur_page1" textlink="">
      <xdr:nvSpPr>
        <xdr:cNvPr id="18" name="color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7524750" y="1905000"/>
          <a:ext cx="216000" cy="180000"/>
        </a:xfrm>
        <a:prstGeom prst="rect">
          <a:avLst/>
        </a:prstGeom>
        <a:solidFill>
          <a:srgbClr val="0070C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250725</xdr:colOff>
      <xdr:row>10</xdr:row>
      <xdr:rowOff>0</xdr:rowOff>
    </xdr:from>
    <xdr:to>
      <xdr:col>9</xdr:col>
      <xdr:colOff>466725</xdr:colOff>
      <xdr:row>10</xdr:row>
      <xdr:rowOff>180000</xdr:rowOff>
    </xdr:to>
    <xdr:sp macro="[0]!couleur_page2" textlink="">
      <xdr:nvSpPr>
        <xdr:cNvPr id="19" name="color2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7775475" y="1905000"/>
          <a:ext cx="216000" cy="180000"/>
        </a:xfrm>
        <a:prstGeom prst="rect">
          <a:avLst/>
        </a:prstGeom>
        <a:solidFill>
          <a:srgbClr val="00B05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495300</xdr:colOff>
      <xdr:row>10</xdr:row>
      <xdr:rowOff>0</xdr:rowOff>
    </xdr:from>
    <xdr:to>
      <xdr:col>9</xdr:col>
      <xdr:colOff>711300</xdr:colOff>
      <xdr:row>10</xdr:row>
      <xdr:rowOff>180000</xdr:rowOff>
    </xdr:to>
    <xdr:sp macro="[0]!couleur_page3" textlink="">
      <xdr:nvSpPr>
        <xdr:cNvPr id="20" name="color3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8020050" y="1905000"/>
          <a:ext cx="216000" cy="180000"/>
        </a:xfrm>
        <a:prstGeom prst="rect">
          <a:avLst/>
        </a:prstGeom>
        <a:solidFill>
          <a:schemeClr val="accent2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755550</xdr:colOff>
      <xdr:row>10</xdr:row>
      <xdr:rowOff>10500</xdr:rowOff>
    </xdr:from>
    <xdr:to>
      <xdr:col>10</xdr:col>
      <xdr:colOff>95250</xdr:colOff>
      <xdr:row>11</xdr:row>
      <xdr:rowOff>0</xdr:rowOff>
    </xdr:to>
    <xdr:sp macro="[0]!couleur_page4" textlink="">
      <xdr:nvSpPr>
        <xdr:cNvPr id="21" name="color4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8280300" y="1915500"/>
          <a:ext cx="216000" cy="180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133350</xdr:colOff>
      <xdr:row>10</xdr:row>
      <xdr:rowOff>10500</xdr:rowOff>
    </xdr:from>
    <xdr:to>
      <xdr:col>10</xdr:col>
      <xdr:colOff>349350</xdr:colOff>
      <xdr:row>11</xdr:row>
      <xdr:rowOff>0</xdr:rowOff>
    </xdr:to>
    <xdr:sp macro="[0]!couleur_page5" textlink="">
      <xdr:nvSpPr>
        <xdr:cNvPr id="22" name="color5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8534400" y="1915500"/>
          <a:ext cx="216000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19050</xdr:colOff>
      <xdr:row>34</xdr:row>
      <xdr:rowOff>19050</xdr:rowOff>
    </xdr:from>
    <xdr:to>
      <xdr:col>5</xdr:col>
      <xdr:colOff>514350</xdr:colOff>
      <xdr:row>37</xdr:row>
      <xdr:rowOff>123825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1962150" y="6496050"/>
          <a:ext cx="2905125" cy="6762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/>
            <a:t>  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numero suivant doit apparaitre sur toute</a:t>
          </a:r>
          <a: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la correspondance annexe, les papiers de livraison et les factures</a:t>
          </a:r>
          <a:endParaRPr lang="fr-FR">
            <a:effectLst/>
          </a:endParaRPr>
        </a:p>
        <a:p>
          <a:endParaRPr lang="fr-FR" sz="1100"/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4</xdr:col>
      <xdr:colOff>666750</xdr:colOff>
      <xdr:row>33</xdr:row>
      <xdr:rowOff>0</xdr:rowOff>
    </xdr:to>
    <xdr:sp macro="" textlink="">
      <xdr:nvSpPr>
        <xdr:cNvPr id="24" name="Text Box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>
          <a:spLocks noChangeArrowheads="1"/>
        </xdr:cNvSpPr>
      </xdr:nvSpPr>
      <xdr:spPr bwMode="auto">
        <a:xfrm>
          <a:off x="3590925" y="5715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AM ALASSANE Ibrahim" refreshedDate="45332.025314351849" createdVersion="8" refreshedVersion="8" minRefreshableVersion="3" recordCount="51" xr:uid="{DC845890-3D7A-4F77-8D5E-2E9263E49BDB}">
  <cacheSource type="worksheet">
    <worksheetSource name="Tableau1"/>
  </cacheSource>
  <cacheFields count="12">
    <cacheField name="Type" numFmtId="0">
      <sharedItems count="2">
        <s v="Entrée"/>
        <s v="Sortie"/>
      </sharedItems>
    </cacheField>
    <cacheField name="Nr de Facture" numFmtId="0">
      <sharedItems/>
    </cacheField>
    <cacheField name="Nr de bon de commande" numFmtId="0">
      <sharedItems count="8">
        <s v=""/>
        <s v="ORD-00003"/>
        <s v="ORD-00011"/>
        <s v="ORD-00005"/>
        <s v="ORD-00007"/>
        <s v="ORD-00004"/>
        <s v="B00-12"/>
        <s v="ORD-00002"/>
      </sharedItems>
    </cacheField>
    <cacheField name="Fournisseur" numFmtId="0">
      <sharedItems containsBlank="1" count="7">
        <s v="Electroccaz"/>
        <s v="Homélectro"/>
        <s v="Frigos Chioné"/>
        <s v="Le Roi Domestique"/>
        <s v="DangadoBusiness"/>
        <m/>
        <s v="Electrorama"/>
      </sharedItems>
    </cacheField>
    <cacheField name="Client" numFmtId="0">
      <sharedItems containsBlank="1"/>
    </cacheField>
    <cacheField name="Nr article" numFmtId="0">
      <sharedItems/>
    </cacheField>
    <cacheField name="Nombre" numFmtId="0">
      <sharedItems containsSemiMixedTypes="0" containsString="0" containsNumber="1" containsInteger="1" minValue="12" maxValue="120"/>
    </cacheField>
    <cacheField name="Ranking" numFmtId="0">
      <sharedItems containsNonDate="0" containsString="0" containsBlank="1"/>
    </cacheField>
    <cacheField name="Achat d'article" numFmtId="0">
      <sharedItems containsMixedTypes="1" containsNumber="1" containsInteger="1" minValue="3900" maxValue="339000" count="28">
        <n v="6650"/>
        <n v="156000"/>
        <n v="3900"/>
        <n v="12900"/>
        <n v="129000"/>
        <n v="45000"/>
        <n v="35000"/>
        <n v="32000"/>
        <n v="11600"/>
        <n v="19000"/>
        <n v="89800"/>
        <n v="7600"/>
        <n v="12800"/>
        <n v="339000"/>
        <n v="127000"/>
        <n v="61700"/>
        <n v="4900"/>
        <n v="72900"/>
        <n v="4200"/>
        <n v="56000"/>
        <n v="14700"/>
        <n v="145000"/>
        <n v="7900"/>
        <n v="18900"/>
        <n v="6000"/>
        <s v=""/>
        <n v="9400"/>
        <n v="175300"/>
      </sharedItems>
    </cacheField>
    <cacheField name="Date d'entrée" numFmtId="14">
      <sharedItems containsDate="1" containsMixedTypes="1" minDate="2023-01-09T21:45:42" maxDate="2024-12-11T00:00:00"/>
    </cacheField>
    <cacheField name="Date de sortie" numFmtId="14">
      <sharedItems containsDate="1" containsMixedTypes="1" minDate="2024-02-10T00:00:00" maxDate="2024-02-11T00:00:00"/>
    </cacheField>
    <cacheField name="Vente d'article" numFmtId="0">
      <sharedItems containsMixedTypes="1" containsNumber="1" containsInteger="1" minValue="12900" maxValue="12900" count="2">
        <s v=""/>
        <n v="12900"/>
      </sharedItems>
    </cacheField>
  </cacheFields>
  <extLst>
    <ext xmlns:x14="http://schemas.microsoft.com/office/spreadsheetml/2009/9/main" uri="{725AE2AE-9491-48be-B2B4-4EB974FC3084}">
      <x14:pivotCacheDefinition pivotCacheId="19692955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AM ALASSANE Ibrahim" refreshedDate="45332.038056018515" createdVersion="8" refreshedVersion="8" minRefreshableVersion="3" recordCount="30" xr:uid="{845DFB25-3B3D-4053-8EC0-A2BF83A58CBE}">
  <cacheSource type="worksheet">
    <worksheetSource name="Tableau14"/>
  </cacheSource>
  <cacheFields count="9">
    <cacheField name="Nr Article" numFmtId="0">
      <sharedItems containsBlank="1" count="29">
        <s v="ART-00001"/>
        <s v="ART-00003"/>
        <s v="ART-00004"/>
        <s v="ART-00005"/>
        <s v="ART-00006"/>
        <s v="ART-00007"/>
        <s v="ART-00008"/>
        <s v="ART-00009"/>
        <s v="ART-00010"/>
        <s v="ART-00011"/>
        <s v="ART-00012"/>
        <s v="ART-00013"/>
        <s v="ART-00014"/>
        <s v="ART-00015"/>
        <s v="ART-00016"/>
        <s v="ART-00017"/>
        <s v="ART-00018"/>
        <s v="ART-00019"/>
        <s v="ART-00020"/>
        <s v="ART-00021"/>
        <s v="ART-00022"/>
        <s v="ART-00023"/>
        <s v="ART-00024"/>
        <s v="ART-00025"/>
        <s v="ART-00026"/>
        <s v="ART-00027"/>
        <s v="ART-00028"/>
        <s v="ART-00029"/>
        <m/>
      </sharedItems>
    </cacheField>
    <cacheField name="Nom" numFmtId="0">
      <sharedItems containsBlank="1" count="29">
        <s v="Aspirateur "/>
        <s v="Sèche-linge "/>
        <s v="Machine à laver "/>
        <s v="Bouilloire électrique "/>
        <s v="Gant de menage "/>
        <s v="Défroisseur a main "/>
        <s v="Réfrigérateur "/>
        <s v="Balai aspirateur "/>
        <s v="Four        "/>
        <s v="Micros ondes "/>
        <s v="Broyeur     "/>
        <s v="Mixeur      "/>
        <s v="Réfrigérateur bar "/>
        <s v="Mini hachoir électrique "/>
        <s v="Mini hachoir manuelle     "/>
        <s v="Congélateur-Horizontal"/>
        <s v="Essential robot patissier            "/>
        <s v="Four grille-pain                "/>
        <s v="Batteur électrique            "/>
        <s v="Mini hachoir à ail    "/>
        <s v="Four a micro onde "/>
        <s v="Chauffe-eau             "/>
        <s v="Cuiseur de riz        "/>
        <s v="Griffe pain             "/>
        <s v="Nettoyeur de haute pression "/>
        <s v="Batteuse electrique                 "/>
        <s v="Réchaud électrique             "/>
        <s v="Machine pop corn               "/>
        <m/>
      </sharedItems>
    </cacheField>
    <cacheField name="Description" numFmtId="0">
      <sharedItems containsNonDate="0" containsString="0" containsBlank="1"/>
    </cacheField>
    <cacheField name="Prix Unité" numFmtId="0">
      <sharedItems containsString="0" containsBlank="1" containsNumber="1" containsInteger="1" minValue="3900" maxValue="339000"/>
    </cacheField>
    <cacheField name="stock" numFmtId="0">
      <sharedItems containsString="0" containsBlank="1" containsNumber="1" containsInteger="1" minValue="23" maxValue="241"/>
    </cacheField>
    <cacheField name="Valeur Stock" numFmtId="167">
      <sharedItems containsString="0" containsBlank="1" containsNumber="1" containsInteger="1" minValue="216200" maxValue="35256000"/>
    </cacheField>
    <cacheField name="Stock min" numFmtId="1">
      <sharedItems containsString="0" containsBlank="1" containsNumber="1" minValue="4.6000000000000005" maxValue="48.2"/>
    </cacheField>
    <cacheField name="Flag" numFmtId="165">
      <sharedItems containsBlank="1"/>
    </cacheField>
    <cacheField name="Statut" numFmtId="0">
      <sharedItems containsBlank="1"/>
    </cacheField>
  </cacheFields>
  <extLst>
    <ext xmlns:x14="http://schemas.microsoft.com/office/spreadsheetml/2009/9/main" uri="{725AE2AE-9491-48be-B2B4-4EB974FC3084}">
      <x14:pivotCacheDefinition pivotCacheId="13341971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s v="facture 10"/>
    <x v="0"/>
    <x v="0"/>
    <m/>
    <s v="ART-00021"/>
    <n v="23"/>
    <m/>
    <x v="0"/>
    <d v="2023-01-09T21:45:42"/>
    <s v=""/>
    <x v="0"/>
  </r>
  <r>
    <x v="0"/>
    <s v="2002"/>
    <x v="1"/>
    <x v="1"/>
    <m/>
    <s v="ART-00029"/>
    <n v="26"/>
    <m/>
    <x v="1"/>
    <d v="2023-01-10T00:00:00"/>
    <s v=""/>
    <x v="0"/>
  </r>
  <r>
    <x v="0"/>
    <s v="facture 10"/>
    <x v="2"/>
    <x v="1"/>
    <m/>
    <s v="ART-00005"/>
    <n v="50"/>
    <m/>
    <x v="2"/>
    <d v="2023-01-11T00:00:00"/>
    <s v=""/>
    <x v="0"/>
  </r>
  <r>
    <x v="0"/>
    <s v="facture 10"/>
    <x v="2"/>
    <x v="1"/>
    <m/>
    <s v="ART-00006"/>
    <n v="50"/>
    <m/>
    <x v="2"/>
    <d v="2023-01-12T00:00:00"/>
    <s v=""/>
    <x v="0"/>
  </r>
  <r>
    <x v="0"/>
    <s v="facture 10"/>
    <x v="2"/>
    <x v="1"/>
    <m/>
    <s v="ART-00007"/>
    <n v="50"/>
    <m/>
    <x v="3"/>
    <d v="2023-01-13T00:00:00"/>
    <s v=""/>
    <x v="0"/>
  </r>
  <r>
    <x v="0"/>
    <s v="facture 10"/>
    <x v="2"/>
    <x v="1"/>
    <m/>
    <s v="ART-00008"/>
    <n v="50"/>
    <m/>
    <x v="4"/>
    <d v="2023-02-09T23:03:51"/>
    <s v=""/>
    <x v="0"/>
  </r>
  <r>
    <x v="0"/>
    <s v="facture 10"/>
    <x v="2"/>
    <x v="1"/>
    <m/>
    <s v="ART-00009"/>
    <n v="50"/>
    <m/>
    <x v="5"/>
    <d v="2023-02-10T00:00:00"/>
    <s v=""/>
    <x v="0"/>
  </r>
  <r>
    <x v="0"/>
    <s v="facture 10"/>
    <x v="2"/>
    <x v="1"/>
    <m/>
    <s v="ART-00010"/>
    <n v="50"/>
    <m/>
    <x v="6"/>
    <d v="2023-02-11T00:00:00"/>
    <s v=""/>
    <x v="0"/>
  </r>
  <r>
    <x v="0"/>
    <s v="facture 10"/>
    <x v="2"/>
    <x v="1"/>
    <m/>
    <s v="ART-00011"/>
    <n v="75"/>
    <m/>
    <x v="7"/>
    <d v="2023-02-12T00:00:00"/>
    <s v=""/>
    <x v="0"/>
  </r>
  <r>
    <x v="0"/>
    <s v="facture 10"/>
    <x v="2"/>
    <x v="1"/>
    <m/>
    <s v="ART-00012"/>
    <n v="75"/>
    <m/>
    <x v="8"/>
    <d v="2023-02-13T00:00:00"/>
    <s v=""/>
    <x v="0"/>
  </r>
  <r>
    <x v="0"/>
    <s v="facture 10"/>
    <x v="2"/>
    <x v="1"/>
    <m/>
    <s v="ART-00013"/>
    <n v="75"/>
    <m/>
    <x v="9"/>
    <d v="2023-02-14T00:00:00"/>
    <s v=""/>
    <x v="0"/>
  </r>
  <r>
    <x v="0"/>
    <s v="facture 10"/>
    <x v="2"/>
    <x v="1"/>
    <m/>
    <s v="ART-00014"/>
    <n v="75"/>
    <m/>
    <x v="10"/>
    <d v="2023-03-09T23:03:52"/>
    <s v=""/>
    <x v="0"/>
  </r>
  <r>
    <x v="0"/>
    <s v="facture 10"/>
    <x v="2"/>
    <x v="1"/>
    <m/>
    <s v="ART-00015"/>
    <n v="75"/>
    <m/>
    <x v="11"/>
    <d v="2023-03-10T00:00:00"/>
    <s v=""/>
    <x v="0"/>
  </r>
  <r>
    <x v="0"/>
    <s v="facture 17"/>
    <x v="2"/>
    <x v="2"/>
    <m/>
    <s v="ART-00016"/>
    <n v="75"/>
    <m/>
    <x v="12"/>
    <d v="2023-03-11T00:00:00"/>
    <s v=""/>
    <x v="0"/>
  </r>
  <r>
    <x v="0"/>
    <s v="facture 17"/>
    <x v="2"/>
    <x v="2"/>
    <m/>
    <s v="ART-00017"/>
    <n v="75"/>
    <m/>
    <x v="13"/>
    <d v="2023-03-12T00:00:00"/>
    <s v=""/>
    <x v="0"/>
  </r>
  <r>
    <x v="0"/>
    <s v="facture 17"/>
    <x v="2"/>
    <x v="2"/>
    <m/>
    <s v="ART-00018"/>
    <n v="75"/>
    <m/>
    <x v="14"/>
    <d v="2023-03-13T00:00:00"/>
    <s v=""/>
    <x v="0"/>
  </r>
  <r>
    <x v="0"/>
    <s v="facture 17"/>
    <x v="2"/>
    <x v="2"/>
    <m/>
    <s v="ART-00019"/>
    <n v="75"/>
    <m/>
    <x v="15"/>
    <d v="2023-04-09T23:08:50"/>
    <s v=""/>
    <x v="0"/>
  </r>
  <r>
    <x v="0"/>
    <s v="facture 17"/>
    <x v="2"/>
    <x v="2"/>
    <m/>
    <s v="ART-00020"/>
    <n v="75"/>
    <m/>
    <x v="16"/>
    <d v="2023-04-10T00:00:00"/>
    <s v=""/>
    <x v="0"/>
  </r>
  <r>
    <x v="0"/>
    <s v="facture 17"/>
    <x v="2"/>
    <x v="2"/>
    <m/>
    <s v="ART-00021"/>
    <n v="13"/>
    <m/>
    <x v="0"/>
    <d v="2023-04-11T00:00:00"/>
    <s v=""/>
    <x v="0"/>
  </r>
  <r>
    <x v="0"/>
    <s v="facture 17"/>
    <x v="2"/>
    <x v="2"/>
    <m/>
    <s v="ART-00022"/>
    <n v="75"/>
    <m/>
    <x v="17"/>
    <d v="2023-04-12T00:00:00"/>
    <s v=""/>
    <x v="0"/>
  </r>
  <r>
    <x v="0"/>
    <s v="facture 17"/>
    <x v="2"/>
    <x v="2"/>
    <m/>
    <s v="ART-00023"/>
    <n v="75"/>
    <m/>
    <x v="18"/>
    <d v="2023-04-13T00:00:00"/>
    <s v=""/>
    <x v="0"/>
  </r>
  <r>
    <x v="0"/>
    <s v="facture 17"/>
    <x v="2"/>
    <x v="2"/>
    <m/>
    <s v="ART-00024"/>
    <n v="75"/>
    <m/>
    <x v="19"/>
    <d v="2023-05-09T23:08:50"/>
    <s v=""/>
    <x v="0"/>
  </r>
  <r>
    <x v="0"/>
    <s v="facture 17"/>
    <x v="2"/>
    <x v="2"/>
    <m/>
    <s v="ART-00025"/>
    <n v="75"/>
    <m/>
    <x v="20"/>
    <d v="2023-05-10T00:00:00"/>
    <s v=""/>
    <x v="0"/>
  </r>
  <r>
    <x v="0"/>
    <s v="facture 17"/>
    <x v="2"/>
    <x v="2"/>
    <m/>
    <s v="ART-00026"/>
    <n v="75"/>
    <m/>
    <x v="21"/>
    <d v="2023-05-11T00:00:00"/>
    <s v=""/>
    <x v="0"/>
  </r>
  <r>
    <x v="0"/>
    <s v="facture 17"/>
    <x v="2"/>
    <x v="2"/>
    <m/>
    <s v="ART-00028"/>
    <n v="75"/>
    <m/>
    <x v="22"/>
    <d v="2023-05-12T00:00:00"/>
    <s v=""/>
    <x v="0"/>
  </r>
  <r>
    <x v="0"/>
    <s v="facture 17"/>
    <x v="2"/>
    <x v="2"/>
    <m/>
    <s v="ART-00029"/>
    <n v="75"/>
    <m/>
    <x v="1"/>
    <d v="2023-05-13T00:00:00"/>
    <s v=""/>
    <x v="0"/>
  </r>
  <r>
    <x v="0"/>
    <s v="facture5"/>
    <x v="3"/>
    <x v="3"/>
    <m/>
    <s v="ART-00029"/>
    <n v="50"/>
    <m/>
    <x v="1"/>
    <d v="2023-05-14T00:00:00"/>
    <s v=""/>
    <x v="0"/>
  </r>
  <r>
    <x v="0"/>
    <s v="facture5"/>
    <x v="3"/>
    <x v="3"/>
    <m/>
    <s v="ART-00007"/>
    <n v="75"/>
    <m/>
    <x v="3"/>
    <d v="2024-06-09T23:15:38"/>
    <s v=""/>
    <x v="0"/>
  </r>
  <r>
    <x v="0"/>
    <s v="facture5"/>
    <x v="3"/>
    <x v="3"/>
    <m/>
    <s v="ART-00015"/>
    <n v="35"/>
    <m/>
    <x v="11"/>
    <d v="2024-06-10T00:00:00"/>
    <s v=""/>
    <x v="0"/>
  </r>
  <r>
    <x v="0"/>
    <s v="facture5"/>
    <x v="3"/>
    <x v="3"/>
    <m/>
    <s v="ART-00006"/>
    <n v="54"/>
    <m/>
    <x v="2"/>
    <d v="2024-06-11T00:00:00"/>
    <s v=""/>
    <x v="0"/>
  </r>
  <r>
    <x v="0"/>
    <s v="facture5"/>
    <x v="3"/>
    <x v="3"/>
    <m/>
    <s v="ART-00003"/>
    <n v="32"/>
    <m/>
    <x v="23"/>
    <d v="2024-06-12T00:00:00"/>
    <s v=""/>
    <x v="0"/>
  </r>
  <r>
    <x v="0"/>
    <s v="facture5"/>
    <x v="3"/>
    <x v="3"/>
    <m/>
    <s v="ART-00023"/>
    <n v="75"/>
    <m/>
    <x v="18"/>
    <d v="2024-07-09T23:15:39"/>
    <s v=""/>
    <x v="0"/>
  </r>
  <r>
    <x v="0"/>
    <s v="facture5"/>
    <x v="3"/>
    <x v="3"/>
    <m/>
    <s v="ART-00029"/>
    <n v="75"/>
    <m/>
    <x v="1"/>
    <d v="2024-07-10T00:00:00"/>
    <s v=""/>
    <x v="0"/>
  </r>
  <r>
    <x v="0"/>
    <s v="facture5"/>
    <x v="3"/>
    <x v="3"/>
    <m/>
    <s v="ART-00007"/>
    <n v="44"/>
    <m/>
    <x v="3"/>
    <d v="2024-07-11T00:00:00"/>
    <s v=""/>
    <x v="0"/>
  </r>
  <r>
    <x v="0"/>
    <s v="facture5"/>
    <x v="3"/>
    <x v="3"/>
    <m/>
    <s v="ART-00027"/>
    <n v="70"/>
    <m/>
    <x v="24"/>
    <d v="2024-08-09T23:15:39"/>
    <s v=""/>
    <x v="0"/>
  </r>
  <r>
    <x v="0"/>
    <s v="facture 3"/>
    <x v="4"/>
    <x v="4"/>
    <m/>
    <s v="ART-00006"/>
    <n v="54"/>
    <m/>
    <x v="2"/>
    <d v="2024-08-10T00:00:00"/>
    <s v=""/>
    <x v="0"/>
  </r>
  <r>
    <x v="0"/>
    <s v="facture 3"/>
    <x v="4"/>
    <x v="4"/>
    <m/>
    <s v="ART-00016"/>
    <n v="21"/>
    <m/>
    <x v="12"/>
    <d v="2024-08-11T00:00:00"/>
    <s v=""/>
    <x v="0"/>
  </r>
  <r>
    <x v="0"/>
    <s v="facture 3"/>
    <x v="4"/>
    <x v="4"/>
    <m/>
    <s v="ART-00005"/>
    <n v="21"/>
    <m/>
    <x v="2"/>
    <d v="2024-08-12T00:00:00"/>
    <s v=""/>
    <x v="0"/>
  </r>
  <r>
    <x v="0"/>
    <s v="facture 3"/>
    <x v="4"/>
    <x v="4"/>
    <m/>
    <s v="ART-00003"/>
    <n v="76"/>
    <m/>
    <x v="23"/>
    <d v="2024-09-09T23:18:22"/>
    <s v=""/>
    <x v="0"/>
  </r>
  <r>
    <x v="0"/>
    <s v="facture 3"/>
    <x v="4"/>
    <x v="4"/>
    <m/>
    <s v="ART-00014"/>
    <n v="32"/>
    <m/>
    <x v="10"/>
    <d v="2024-09-10T00:00:00"/>
    <s v=""/>
    <x v="0"/>
  </r>
  <r>
    <x v="0"/>
    <s v="facture 3"/>
    <x v="4"/>
    <x v="4"/>
    <m/>
    <s v="ART-00010"/>
    <n v="16"/>
    <m/>
    <x v="6"/>
    <d v="2024-10-09T23:18:22"/>
    <s v=""/>
    <x v="0"/>
  </r>
  <r>
    <x v="0"/>
    <s v="facture 3"/>
    <x v="4"/>
    <x v="4"/>
    <m/>
    <s v="ART-00022"/>
    <n v="54"/>
    <m/>
    <x v="17"/>
    <d v="2024-10-10T00:00:00"/>
    <s v=""/>
    <x v="0"/>
  </r>
  <r>
    <x v="0"/>
    <s v="facture 3"/>
    <x v="4"/>
    <x v="4"/>
    <m/>
    <s v="ART-00015"/>
    <n v="23"/>
    <m/>
    <x v="11"/>
    <d v="2024-10-11T00:00:00"/>
    <s v=""/>
    <x v="0"/>
  </r>
  <r>
    <x v="0"/>
    <s v="facture 3"/>
    <x v="4"/>
    <x v="4"/>
    <m/>
    <s v="ART-00016"/>
    <n v="76"/>
    <m/>
    <x v="12"/>
    <d v="2024-11-09T23:18:23"/>
    <s v=""/>
    <x v="0"/>
  </r>
  <r>
    <x v="0"/>
    <s v="facture4"/>
    <x v="5"/>
    <x v="3"/>
    <m/>
    <s v="ART-00006"/>
    <n v="12"/>
    <m/>
    <x v="2"/>
    <d v="2024-12-09T23:26:22"/>
    <s v=""/>
    <x v="0"/>
  </r>
  <r>
    <x v="0"/>
    <s v="facture4"/>
    <x v="3"/>
    <x v="0"/>
    <m/>
    <s v="ART-00005"/>
    <n v="120"/>
    <m/>
    <x v="2"/>
    <d v="2024-12-10T00:00:00"/>
    <s v=""/>
    <x v="0"/>
  </r>
  <r>
    <x v="1"/>
    <s v="Facture-006"/>
    <x v="6"/>
    <x v="5"/>
    <s v="Douglas"/>
    <s v="ART-00007"/>
    <n v="12"/>
    <m/>
    <x v="25"/>
    <s v=""/>
    <d v="2024-02-10T00:00:00"/>
    <x v="1"/>
  </r>
  <r>
    <x v="0"/>
    <s v="FACT"/>
    <x v="7"/>
    <x v="6"/>
    <m/>
    <s v="ART-00001"/>
    <n v="23"/>
    <m/>
    <x v="26"/>
    <d v="2024-01-10T00:33:55"/>
    <s v=""/>
    <x v="0"/>
  </r>
  <r>
    <x v="0"/>
    <s v="FACT"/>
    <x v="7"/>
    <x v="6"/>
    <m/>
    <s v="ART-00004"/>
    <n v="34"/>
    <m/>
    <x v="27"/>
    <d v="2024-01-11T00:00:00"/>
    <s v=""/>
    <x v="0"/>
  </r>
  <r>
    <x v="0"/>
    <s v="FACT"/>
    <x v="7"/>
    <x v="6"/>
    <m/>
    <s v="ART-00006"/>
    <n v="23"/>
    <m/>
    <x v="2"/>
    <d v="2024-01-12T00:00:00"/>
    <s v=""/>
    <x v="0"/>
  </r>
  <r>
    <x v="0"/>
    <s v="FACT"/>
    <x v="7"/>
    <x v="6"/>
    <m/>
    <s v="ART-00006"/>
    <n v="50"/>
    <m/>
    <x v="2"/>
    <d v="2024-01-13T00:00:00"/>
    <s v="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m/>
    <n v="9400"/>
    <n v="23"/>
    <n v="216200"/>
    <n v="4.6000000000000005"/>
    <s v=""/>
    <s v="Active"/>
  </r>
  <r>
    <x v="1"/>
    <x v="1"/>
    <m/>
    <n v="18900"/>
    <n v="108"/>
    <n v="2041200"/>
    <n v="21.6"/>
    <s v=""/>
    <s v="Active"/>
  </r>
  <r>
    <x v="2"/>
    <x v="2"/>
    <m/>
    <n v="175300"/>
    <n v="32"/>
    <n v="5609600"/>
    <n v="6.4"/>
    <s v=""/>
    <s v="Active"/>
  </r>
  <r>
    <x v="3"/>
    <x v="3"/>
    <m/>
    <n v="3900"/>
    <n v="191"/>
    <n v="744900"/>
    <n v="38.200000000000003"/>
    <s v=""/>
    <s v="Active"/>
  </r>
  <r>
    <x v="4"/>
    <x v="4"/>
    <m/>
    <n v="3900"/>
    <n v="241"/>
    <n v="939900"/>
    <n v="48.2"/>
    <s v=""/>
    <s v="Active"/>
  </r>
  <r>
    <x v="5"/>
    <x v="5"/>
    <m/>
    <n v="12900"/>
    <n v="157"/>
    <n v="2025300"/>
    <n v="31.400000000000002"/>
    <s v=""/>
    <s v="Active"/>
  </r>
  <r>
    <x v="6"/>
    <x v="6"/>
    <m/>
    <n v="129000"/>
    <n v="50"/>
    <n v="6450000"/>
    <n v="10"/>
    <s v=""/>
    <s v="Active"/>
  </r>
  <r>
    <x v="7"/>
    <x v="7"/>
    <m/>
    <n v="45000"/>
    <n v="50"/>
    <n v="2250000"/>
    <n v="10"/>
    <s v=""/>
    <s v="Active"/>
  </r>
  <r>
    <x v="8"/>
    <x v="8"/>
    <m/>
    <n v="35000"/>
    <n v="66"/>
    <n v="2310000"/>
    <n v="13.200000000000001"/>
    <s v=""/>
    <s v="Active"/>
  </r>
  <r>
    <x v="9"/>
    <x v="9"/>
    <m/>
    <n v="32000"/>
    <n v="75"/>
    <n v="2400000"/>
    <n v="15"/>
    <s v=""/>
    <s v="Active"/>
  </r>
  <r>
    <x v="10"/>
    <x v="10"/>
    <m/>
    <n v="11600"/>
    <n v="75"/>
    <n v="870000"/>
    <n v="15"/>
    <s v=""/>
    <s v="Active"/>
  </r>
  <r>
    <x v="11"/>
    <x v="11"/>
    <m/>
    <n v="19000"/>
    <n v="75"/>
    <n v="1425000"/>
    <n v="15"/>
    <s v=""/>
    <s v="Active"/>
  </r>
  <r>
    <x v="12"/>
    <x v="12"/>
    <m/>
    <n v="89800"/>
    <n v="107"/>
    <n v="9608600"/>
    <n v="21.400000000000002"/>
    <s v=""/>
    <s v="Active"/>
  </r>
  <r>
    <x v="13"/>
    <x v="13"/>
    <m/>
    <n v="7600"/>
    <n v="133"/>
    <n v="1010800"/>
    <n v="26.6"/>
    <s v=""/>
    <s v="Active"/>
  </r>
  <r>
    <x v="14"/>
    <x v="14"/>
    <m/>
    <n v="12800"/>
    <n v="172"/>
    <n v="2201600"/>
    <n v="34.4"/>
    <s v=""/>
    <s v="Active"/>
  </r>
  <r>
    <x v="15"/>
    <x v="15"/>
    <m/>
    <n v="339000"/>
    <n v="75"/>
    <n v="25425000"/>
    <n v="15"/>
    <s v=""/>
    <s v="Active"/>
  </r>
  <r>
    <x v="16"/>
    <x v="16"/>
    <m/>
    <n v="127000"/>
    <n v="75"/>
    <n v="9525000"/>
    <n v="15"/>
    <s v=""/>
    <s v="Active"/>
  </r>
  <r>
    <x v="17"/>
    <x v="17"/>
    <m/>
    <n v="61700"/>
    <n v="75"/>
    <n v="4627500"/>
    <n v="15"/>
    <s v=""/>
    <s v="Active"/>
  </r>
  <r>
    <x v="18"/>
    <x v="18"/>
    <m/>
    <n v="4900"/>
    <n v="75"/>
    <n v="367500"/>
    <n v="15"/>
    <s v=""/>
    <s v="Active"/>
  </r>
  <r>
    <x v="19"/>
    <x v="19"/>
    <m/>
    <n v="6650"/>
    <n v="36"/>
    <n v="239400"/>
    <n v="7.2"/>
    <s v=""/>
    <s v="Active"/>
  </r>
  <r>
    <x v="20"/>
    <x v="20"/>
    <m/>
    <n v="72900"/>
    <n v="129"/>
    <n v="9404100"/>
    <n v="25.8"/>
    <s v=""/>
    <s v="Active"/>
  </r>
  <r>
    <x v="21"/>
    <x v="21"/>
    <m/>
    <n v="4200"/>
    <n v="150"/>
    <n v="630000"/>
    <n v="30"/>
    <s v=""/>
    <s v="Active"/>
  </r>
  <r>
    <x v="22"/>
    <x v="22"/>
    <m/>
    <n v="56000"/>
    <n v="75"/>
    <n v="4200000"/>
    <n v="15"/>
    <s v=""/>
    <s v="Active"/>
  </r>
  <r>
    <x v="23"/>
    <x v="23"/>
    <m/>
    <n v="14700"/>
    <n v="75"/>
    <n v="1102500"/>
    <n v="15"/>
    <s v=""/>
    <s v="Active"/>
  </r>
  <r>
    <x v="24"/>
    <x v="24"/>
    <m/>
    <n v="145000"/>
    <n v="75"/>
    <n v="10875000"/>
    <n v="15"/>
    <s v=""/>
    <s v="Active"/>
  </r>
  <r>
    <x v="25"/>
    <x v="25"/>
    <m/>
    <n v="6000"/>
    <n v="70"/>
    <n v="420000"/>
    <n v="14"/>
    <s v=""/>
    <s v="Active"/>
  </r>
  <r>
    <x v="26"/>
    <x v="26"/>
    <m/>
    <n v="7900"/>
    <n v="75"/>
    <n v="592500"/>
    <n v="15"/>
    <s v=""/>
    <s v="Active"/>
  </r>
  <r>
    <x v="27"/>
    <x v="27"/>
    <m/>
    <n v="156000"/>
    <n v="226"/>
    <n v="35256000"/>
    <n v="45.2"/>
    <s v=""/>
    <s v="Active"/>
  </r>
  <r>
    <x v="28"/>
    <x v="28"/>
    <m/>
    <m/>
    <m/>
    <m/>
    <m/>
    <m/>
    <m/>
  </r>
  <r>
    <x v="28"/>
    <x v="28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C94EDD-0FFB-479A-A300-DC56A0F41124}" name="Tableau croisé dynamique4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2">
  <location ref="B42:C45" firstHeaderRow="1" firstDataRow="1" firstDataCol="1"/>
  <pivotFields count="12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3">
        <item x="1"/>
        <item x="0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Nombre de Vente d'article" fld="11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9F576C-DF6A-450D-B43C-2D73DDD45E18}" name="Tableau croisé dynamique3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D16:F33" firstHeaderRow="1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02B8ED-DB8A-4B83-85A7-E19CE578A49F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2">
  <location ref="B10:C14" firstHeaderRow="1" firstDataRow="1" firstDataCol="1"/>
  <pivotFields count="9"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showAll="0">
      <items count="30">
        <item h="1" x="0"/>
        <item x="7"/>
        <item x="18"/>
        <item x="25"/>
        <item h="1" x="3"/>
        <item h="1" x="10"/>
        <item h="1" x="21"/>
        <item h="1" x="15"/>
        <item h="1" x="22"/>
        <item h="1" x="5"/>
        <item h="1" x="16"/>
        <item h="1" x="8"/>
        <item h="1" x="20"/>
        <item h="1" x="17"/>
        <item h="1" x="4"/>
        <item h="1" x="23"/>
        <item h="1" x="2"/>
        <item h="1" x="27"/>
        <item h="1" x="9"/>
        <item h="1" x="19"/>
        <item h="1" x="13"/>
        <item h="1" x="14"/>
        <item h="1" x="11"/>
        <item h="1" x="24"/>
        <item h="1" x="26"/>
        <item h="1" x="12"/>
        <item h="1" x="6"/>
        <item h="1" x="1"/>
        <item h="1" x="28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omme de stock" fld="4" baseField="0" baseItem="0"/>
  </dataFields>
  <formats count="3">
    <format dxfId="28">
      <pivotArea field="1" type="button" dataOnly="0" labelOnly="1" outline="0" axis="axisRow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728A1F-9798-4960-9CA5-F4C19A332C4F}" name="Tableau croisé dynamique1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8">
  <location ref="H3:I9" firstHeaderRow="1" firstDataRow="1" firstDataCol="1"/>
  <pivotFields count="12">
    <pivotField showAll="0" defaultSubtotal="0">
      <items count="2">
        <item x="0"/>
        <item x="1"/>
      </items>
    </pivotField>
    <pivotField showAll="0"/>
    <pivotField showAll="0"/>
    <pivotField axis="axisRow" showAll="0">
      <items count="8">
        <item x="4"/>
        <item x="0"/>
        <item x="6"/>
        <item x="2"/>
        <item x="1"/>
        <item h="1" x="3"/>
        <item h="1" x="5"/>
        <item t="default"/>
      </items>
    </pivotField>
    <pivotField showAll="0"/>
    <pivotField showAll="0"/>
    <pivotField showAll="0"/>
    <pivotField showAll="0"/>
    <pivotField dataField="1" showAll="0">
      <items count="29">
        <item x="2"/>
        <item x="18"/>
        <item x="16"/>
        <item x="24"/>
        <item x="0"/>
        <item x="11"/>
        <item x="22"/>
        <item x="26"/>
        <item x="8"/>
        <item x="12"/>
        <item x="3"/>
        <item x="20"/>
        <item x="23"/>
        <item x="9"/>
        <item x="7"/>
        <item x="6"/>
        <item x="5"/>
        <item x="19"/>
        <item x="15"/>
        <item x="17"/>
        <item x="10"/>
        <item x="14"/>
        <item x="4"/>
        <item x="21"/>
        <item x="1"/>
        <item x="27"/>
        <item x="13"/>
        <item x="25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Nombre de Achat d'article" fld="8" subtotal="count" baseField="0" baseItem="0"/>
  </dataFields>
  <chartFormats count="1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100BA1-65CA-4D63-AD4D-662905D6FB1A}" name="Tableau croisé dynamique8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I35:K52" firstHeaderRow="1" firstDataRow="1" firstDataCol="0"/>
  <pivotFields count="12">
    <pivotField showAll="0">
      <items count="3">
        <item x="0"/>
        <item x="1"/>
        <item t="default"/>
      </items>
    </pivotField>
    <pivotField showAll="0"/>
    <pivotField showAll="0"/>
    <pivotField showAll="0">
      <items count="8">
        <item h="1" x="4"/>
        <item h="1" x="0"/>
        <item h="1" x="6"/>
        <item h="1" x="2"/>
        <item x="1"/>
        <item h="1" x="3"/>
        <item h="1" x="5"/>
        <item t="default"/>
      </items>
    </pivotField>
    <pivotField showAll="0"/>
    <pivotField showAll="0"/>
    <pivotField showAll="0"/>
    <pivotField showAll="0"/>
    <pivotField showAll="0">
      <items count="29">
        <item x="2"/>
        <item x="18"/>
        <item x="16"/>
        <item x="24"/>
        <item x="0"/>
        <item x="11"/>
        <item x="22"/>
        <item x="26"/>
        <item x="8"/>
        <item x="12"/>
        <item x="3"/>
        <item x="20"/>
        <item x="23"/>
        <item x="9"/>
        <item x="7"/>
        <item x="6"/>
        <item x="5"/>
        <item x="19"/>
        <item x="15"/>
        <item x="17"/>
        <item x="10"/>
        <item x="14"/>
        <item x="4"/>
        <item x="21"/>
        <item x="1"/>
        <item x="27"/>
        <item x="13"/>
        <item x="25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4F21A6-CB2E-4430-898B-CF8E4498B077}" name="Tableau croisé dynamique5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I19:J30" firstHeaderRow="1" firstDataRow="1" firstDataCol="1"/>
  <pivotFields count="9">
    <pivotField showAll="0"/>
    <pivotField axis="axisRow" showAll="0">
      <items count="30">
        <item h="1" x="0"/>
        <item h="1" x="7"/>
        <item h="1" x="18"/>
        <item h="1" x="25"/>
        <item h="1" x="3"/>
        <item h="1" x="10"/>
        <item h="1" x="21"/>
        <item h="1" x="15"/>
        <item h="1" x="22"/>
        <item h="1" x="5"/>
        <item h="1" x="16"/>
        <item h="1" x="8"/>
        <item h="1" x="20"/>
        <item h="1" x="17"/>
        <item h="1" x="4"/>
        <item h="1" x="23"/>
        <item x="2"/>
        <item x="27"/>
        <item x="9"/>
        <item x="19"/>
        <item x="13"/>
        <item x="14"/>
        <item x="11"/>
        <item x="24"/>
        <item x="26"/>
        <item x="12"/>
        <item h="1" x="6"/>
        <item h="1" x="1"/>
        <item h="1" x="28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11"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Somme de stock" fld="4" baseField="0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48A3B169-1B00-4A49-989E-71EE3ED28C5F}" sourceName="Nom">
  <pivotTables>
    <pivotTable tabId="9" name="Tableau croisé dynamique5"/>
  </pivotTables>
  <data>
    <tabular pivotCacheId="1334197101">
      <items count="29">
        <i x="0"/>
        <i x="7"/>
        <i x="18"/>
        <i x="25"/>
        <i x="3"/>
        <i x="10"/>
        <i x="21"/>
        <i x="15"/>
        <i x="22"/>
        <i x="5"/>
        <i x="16"/>
        <i x="8"/>
        <i x="20"/>
        <i x="17"/>
        <i x="4"/>
        <i x="23"/>
        <i x="2" s="1"/>
        <i x="27" s="1"/>
        <i x="9" s="1"/>
        <i x="19" s="1"/>
        <i x="13" s="1"/>
        <i x="14" s="1"/>
        <i x="11" s="1"/>
        <i x="24" s="1"/>
        <i x="26" s="1"/>
        <i x="12" s="1"/>
        <i x="6"/>
        <i x="1"/>
        <i x="28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FA83B5F8-8AC3-465A-A7CE-CA1B75038AD4}" sourceName="Type">
  <pivotTables>
    <pivotTable tabId="9" name="Tableau croisé dynamique4"/>
  </pivotTables>
  <data>
    <tabular pivotCacheId="1969295565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76F250E0-09A8-449B-83DF-40C34FE085E3}" cache="Segment_Nom" caption="Nom" startItem="15" rowHeight="241300"/>
  <slicer name="Type" xr10:uid="{D8C42865-7666-4D8B-8C3F-5EC5614C36FC}" cache="Segment_Type" caption="Typ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0FECEA-E5B2-4EA7-84C9-4540BD274853}" name="Tableau14" displayName="Tableau14" ref="B5:J36" totalsRowShown="0" headerRowDxfId="25">
  <autoFilter ref="B5:J36" xr:uid="{920FECEA-E5B2-4EA7-84C9-4540BD274853}"/>
  <tableColumns count="9">
    <tableColumn id="1" xr3:uid="{DF373AEC-5EEF-4E27-B250-7A46BED35604}" name="Nr Article"/>
    <tableColumn id="2" xr3:uid="{843F5708-817C-46FD-B88A-29AF0E2B8CC3}" name="Nom"/>
    <tableColumn id="3" xr3:uid="{C494A25F-AA1A-4E29-86A1-FE0DE6EC1720}" name="Description"/>
    <tableColumn id="4" xr3:uid="{704ED2ED-F36F-4AA6-9230-0914DA29598F}" name="Prix Unité" dataDxfId="24"/>
    <tableColumn id="5" xr3:uid="{202C579B-238F-4F38-8C3F-CEF27AB0CEDD}" name="stock" dataDxfId="23">
      <calculatedColumnFormula>SUMIFS(Tableau1[Nombre],Tableau1[Nr article],Tableau14[[#This Row],[Nr Article]],Tableau1[Type],"Entrée")-SUMIFS(Tableau1[Nombre],Tableau1[Nr article],Tableau14[[#This Row],[Nr Article]],Tableau1[Type],"Sortie")</calculatedColumnFormula>
    </tableColumn>
    <tableColumn id="6" xr3:uid="{BBEE1DA7-8D6D-42E1-BA97-9BB17D562C04}" name="Valeur Stock" dataDxfId="22">
      <calculatedColumnFormula>E6*F6</calculatedColumnFormula>
    </tableColumn>
    <tableColumn id="7" xr3:uid="{B93E2DE8-4187-430C-8513-E2525C1BA65A}" name="Stock min"/>
    <tableColumn id="8" xr3:uid="{60743BA7-D220-4A71-9930-82C1A8403312}" name="Flag" dataDxfId="21">
      <calculatedColumnFormula>IF(F6&lt;H6,1,"")</calculatedColumnFormula>
    </tableColumn>
    <tableColumn id="9" xr3:uid="{ADD48E51-C770-4D45-A0B1-64870D7F38AF}" name="Statu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4AA48-6E9D-45EE-9096-29BA32244D9A}" name="Tableau25" displayName="Tableau25" ref="B5:K40" totalsRowShown="0">
  <autoFilter ref="B5:K40" xr:uid="{E964AA48-6E9D-45EE-9096-29BA32244D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30C120-091A-48E1-9F9F-DA5897BEACE7}" name="Nr commande"/>
    <tableColumn id="2" xr3:uid="{6D7943CA-D928-437E-ADDA-D34A8743A60C}" name="Date"/>
    <tableColumn id="3" xr3:uid="{582A8DC1-E276-4880-8683-A7FBFD39D50A}" name="Nr article"/>
    <tableColumn id="4" xr3:uid="{55FE98C5-156D-472A-8105-7336C98D871D}" name="Nom"/>
    <tableColumn id="5" xr3:uid="{0060BAD3-385D-4E47-B3FF-22773C0BB13E}" name="Nombre"/>
    <tableColumn id="6" xr3:uid="{A0A948B1-5E58-417A-BE21-F828D9B6B912}" name="Prix" dataDxfId="19"/>
    <tableColumn id="7" xr3:uid="{391BC01B-3103-4AE1-B606-F1BFB4930433}" name="Prix total" dataDxfId="18">
      <calculatedColumnFormula>Tableau25[[#This Row],[Prix]]*Tableau25[[#This Row],[Nombre]]</calculatedColumnFormula>
    </tableColumn>
    <tableColumn id="8" xr3:uid="{4888F5B2-3927-49EF-B7C0-8DFEB3246427}" name="Fournisseur"/>
    <tableColumn id="10" xr3:uid="{38DED64E-0704-4809-A6A5-C8A44AAB2468}" name="controle" dataDxfId="17">
      <calculatedColumnFormula array="1">IFERROR(INDEX(Tableau1[Nombre],MATCH(1,(Tableau25[[#This Row],[Nr commande]]=Tableau1[Nr de bon de commande])*(Tableau25[[#This Row],[Nr article]]=Tableau1[Nr article]),0)),"")</calculatedColumnFormula>
    </tableColumn>
    <tableColumn id="11" xr3:uid="{FD9F76DA-A725-4D2E-ABF8-C622AB711D68}" name="check">
      <calculatedColumnFormula>IF(Tableau25[[#This Row],[controle]]=Tableau25[[#This Row],[Nombre]],"close","open")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14DB76-51B5-4397-ADB2-62CBC9A09B15}" name="Tableau1" displayName="Tableau1" ref="B5:M99" totalsRowShown="0" dataDxfId="15">
  <autoFilter ref="B5:M99" xr:uid="{A014DB76-51B5-4397-ADB2-62CBC9A09B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4A9DEF3-89A1-48B3-ADBB-3E75B51EC0A3}" name="Type" dataDxfId="14"/>
    <tableColumn id="2" xr3:uid="{C00D6759-EC3E-4A48-BF2D-A123282745A6}" name="Nr de Facture" dataDxfId="13"/>
    <tableColumn id="3" xr3:uid="{87C00883-7D54-47A5-AA44-C6C75A4E2956}" name="Nr de bon de commande" dataDxfId="12"/>
    <tableColumn id="4" xr3:uid="{97391D0C-1031-4E43-B4BD-BD8CE431FE23}" name="Fournisseur" dataDxfId="11"/>
    <tableColumn id="5" xr3:uid="{690D8661-28B5-4188-AE2E-3BF41345B8CF}" name="Client" dataDxfId="10"/>
    <tableColumn id="6" xr3:uid="{79E3A992-20F2-41E0-8848-B217F74823ED}" name="Nr article" dataDxfId="9"/>
    <tableColumn id="7" xr3:uid="{C75471BC-96A2-4B3F-9BED-BFF1D3A54615}" name="Nombre" dataDxfId="8"/>
    <tableColumn id="8" xr3:uid="{5E4CE72D-91BC-4870-BA64-66CE063079CB}" name="Ranking" dataDxfId="7">
      <calculatedColumnFormula>IF(Tableau1[Type]="Sortie",COUNTIFS(Tableau1[Type],"Sortie",Tableau1[Nombre],"&gt;"&amp;Tableau1[[#This Row],[Nombre]])+1,"")</calculatedColumnFormula>
    </tableColumn>
    <tableColumn id="12" xr3:uid="{DD8375B3-FA0F-44C2-A55D-94A360B1910C}" name="Achat d'article" dataDxfId="6">
      <calculatedColumnFormula>IF(Tableau1[[#This Row],[Type]]="Entrée",VLOOKUP(Tableau1[[#This Row],[Nr article]],Tableau14[],4,FALSE),"")</calculatedColumnFormula>
    </tableColumn>
    <tableColumn id="10" xr3:uid="{DEFF7DB6-C8D7-454D-B149-BCE5A2213470}" name="Date d'entrée" dataDxfId="5">
      <calculatedColumnFormula>IF(Tableau1[[#This Row],[Type]]= "Entrée",TODAY(),"")</calculatedColumnFormula>
    </tableColumn>
    <tableColumn id="11" xr3:uid="{DC69E671-7803-445B-A6DB-A96B0C7A28E1}" name="Date de sortie" dataDxfId="4">
      <calculatedColumnFormula>IF(Tableau1[[#This Row],[Type]]= "Sortie",TODAY(),"")</calculatedColumnFormula>
    </tableColumn>
    <tableColumn id="13" xr3:uid="{B8D8CADC-3803-4964-BBD0-A4FAC9989D17}" name="Vente d'article" dataDxfId="3">
      <calculatedColumnFormula>IF(Tableau1[[#This Row],[Type]]="Sortie",VLOOKUP(Tableau1[[#This Row],[Nr article]],Tableau14[],4,FALSE),"")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61B7A1-E5DE-44EC-8A0A-BAFF247CFACA}" name="Tableau2" displayName="Tableau2" ref="B5:I20" totalsRowShown="0" headerRowDxfId="2" headerRowBorderDxfId="1" tableBorderDxfId="0">
  <autoFilter ref="B5:I20" xr:uid="{1261B7A1-E5DE-44EC-8A0A-BAFF247CFA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A45060E-96B4-4CA8-9D1D-FEC0215BF999}" name="Nom"/>
    <tableColumn id="2" xr3:uid="{2E27F2B3-2B86-46C5-9474-4A9FBF8ECCA5}" name="Adresse"/>
    <tableColumn id="3" xr3:uid="{4E87F40D-6C74-46EB-97EF-5FA319203217}" name="Code postal"/>
    <tableColumn id="4" xr3:uid="{D1F9454A-2B1C-49F2-AE3F-4ABC8821FBF1}" name="Ville"/>
    <tableColumn id="5" xr3:uid="{7C3A6E2E-52EB-44CE-8600-6C97429E70E8}" name="Pays"/>
    <tableColumn id="6" xr3:uid="{BD70C5D1-E0A8-4139-B3B9-09AF5A815A4D}" name="Telephone"/>
    <tableColumn id="7" xr3:uid="{CF1381E7-FE3E-47B0-8C86-F4C8EF724CA4}" name="Mail" dataCellStyle="Lien hypertexte"/>
    <tableColumn id="8" xr3:uid="{2954A8AE-8734-4FF5-B053-46914A94671B}" name="Group">
      <calculatedColumnFormula>CONCATENATE(LEFT(E6,2),"-",D6,",",F6)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mailto:ndiaye1@gmail.com" TargetMode="External"/><Relationship Id="rId1" Type="http://schemas.openxmlformats.org/officeDocument/2006/relationships/hyperlink" Target="mailto:ndiaye1@gmail.com" TargetMode="Externa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roupe1@gmail.com" TargetMode="External"/><Relationship Id="rId2" Type="http://schemas.openxmlformats.org/officeDocument/2006/relationships/hyperlink" Target="mailto:groupe1@gmail.com" TargetMode="External"/><Relationship Id="rId1" Type="http://schemas.openxmlformats.org/officeDocument/2006/relationships/hyperlink" Target="mailto:groupe1@gmail.com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groupe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4879B-39D6-424B-954F-497DAC8CA1BD}">
  <sheetPr codeName="Feuil9"/>
  <dimension ref="A1:K52"/>
  <sheetViews>
    <sheetView showGridLines="0" tabSelected="1" zoomScale="40" zoomScaleNormal="40" workbookViewId="0">
      <selection activeCell="K41" sqref="K41"/>
    </sheetView>
  </sheetViews>
  <sheetFormatPr baseColWidth="10" defaultRowHeight="14.5" x14ac:dyDescent="0.35"/>
  <cols>
    <col min="2" max="2" width="20.54296875" bestFit="1" customWidth="1"/>
    <col min="3" max="3" width="23.7265625" bestFit="1" customWidth="1"/>
    <col min="8" max="8" width="19.54296875" bestFit="1" customWidth="1"/>
    <col min="9" max="9" width="25.1796875" bestFit="1" customWidth="1"/>
    <col min="10" max="10" width="14.54296875" bestFit="1" customWidth="1"/>
    <col min="11" max="11" width="18.36328125" bestFit="1" customWidth="1"/>
    <col min="12" max="12" width="11.7265625" bestFit="1" customWidth="1"/>
    <col min="13" max="13" width="4.81640625" bestFit="1" customWidth="1"/>
    <col min="14" max="18" width="5.81640625" bestFit="1" customWidth="1"/>
    <col min="19" max="22" width="6.81640625" bestFit="1" customWidth="1"/>
    <col min="23" max="23" width="11.81640625" bestFit="1" customWidth="1"/>
    <col min="24" max="30" width="5.81640625" bestFit="1" customWidth="1"/>
    <col min="31" max="36" width="6.81640625" bestFit="1" customWidth="1"/>
    <col min="37" max="38" width="11.81640625" bestFit="1" customWidth="1"/>
    <col min="39" max="39" width="11.7265625" bestFit="1" customWidth="1"/>
  </cols>
  <sheetData>
    <row r="1" spans="1:9" s="55" customFormat="1" ht="40.5" customHeight="1" x14ac:dyDescent="0.35"/>
    <row r="2" spans="1:9" x14ac:dyDescent="0.35">
      <c r="A2" s="55"/>
      <c r="B2" s="55"/>
    </row>
    <row r="3" spans="1:9" x14ac:dyDescent="0.35">
      <c r="A3" s="55"/>
      <c r="B3" s="55"/>
      <c r="H3" s="53" t="s">
        <v>303</v>
      </c>
      <c r="I3" t="s">
        <v>305</v>
      </c>
    </row>
    <row r="4" spans="1:9" x14ac:dyDescent="0.35">
      <c r="A4" s="55"/>
      <c r="B4" s="55"/>
      <c r="H4" s="54" t="s">
        <v>179</v>
      </c>
      <c r="I4">
        <v>9</v>
      </c>
    </row>
    <row r="5" spans="1:9" x14ac:dyDescent="0.35">
      <c r="A5" s="55"/>
      <c r="B5" s="55"/>
      <c r="H5" s="54" t="s">
        <v>168</v>
      </c>
      <c r="I5">
        <v>2</v>
      </c>
    </row>
    <row r="6" spans="1:9" x14ac:dyDescent="0.35">
      <c r="A6" s="55"/>
      <c r="B6" s="55"/>
      <c r="H6" s="54" t="s">
        <v>165</v>
      </c>
      <c r="I6">
        <v>4</v>
      </c>
    </row>
    <row r="7" spans="1:9" x14ac:dyDescent="0.35">
      <c r="A7" s="55"/>
      <c r="B7" s="55"/>
      <c r="H7" s="54" t="s">
        <v>172</v>
      </c>
      <c r="I7">
        <v>13</v>
      </c>
    </row>
    <row r="8" spans="1:9" x14ac:dyDescent="0.35">
      <c r="A8" s="55"/>
      <c r="B8" s="55"/>
      <c r="H8" s="54" t="s">
        <v>170</v>
      </c>
      <c r="I8">
        <v>12</v>
      </c>
    </row>
    <row r="9" spans="1:9" x14ac:dyDescent="0.35">
      <c r="A9" s="55"/>
      <c r="B9" s="55"/>
      <c r="H9" s="54" t="s">
        <v>304</v>
      </c>
      <c r="I9">
        <v>40</v>
      </c>
    </row>
    <row r="10" spans="1:9" x14ac:dyDescent="0.35">
      <c r="A10" s="55"/>
      <c r="B10" s="55" t="s">
        <v>303</v>
      </c>
      <c r="C10" t="s">
        <v>306</v>
      </c>
    </row>
    <row r="11" spans="1:9" x14ac:dyDescent="0.35">
      <c r="A11" s="55"/>
      <c r="B11" s="56" t="s">
        <v>234</v>
      </c>
      <c r="C11">
        <v>50</v>
      </c>
    </row>
    <row r="12" spans="1:9" x14ac:dyDescent="0.35">
      <c r="A12" s="55"/>
      <c r="B12" s="56" t="s">
        <v>244</v>
      </c>
      <c r="C12">
        <v>75</v>
      </c>
    </row>
    <row r="13" spans="1:9" x14ac:dyDescent="0.35">
      <c r="A13" s="55"/>
      <c r="B13" s="56" t="s">
        <v>251</v>
      </c>
      <c r="C13">
        <v>70</v>
      </c>
    </row>
    <row r="14" spans="1:9" x14ac:dyDescent="0.35">
      <c r="A14" s="55"/>
      <c r="B14" s="56" t="s">
        <v>304</v>
      </c>
      <c r="C14">
        <v>195</v>
      </c>
    </row>
    <row r="15" spans="1:9" x14ac:dyDescent="0.35">
      <c r="A15" s="55"/>
      <c r="B15" s="55"/>
    </row>
    <row r="16" spans="1:9" x14ac:dyDescent="0.35">
      <c r="A16" s="55"/>
      <c r="B16" s="55"/>
      <c r="D16" s="44"/>
      <c r="E16" s="45"/>
      <c r="F16" s="46"/>
    </row>
    <row r="17" spans="1:10" x14ac:dyDescent="0.35">
      <c r="A17" s="55"/>
      <c r="B17" s="55"/>
      <c r="D17" s="47"/>
      <c r="E17" s="48"/>
      <c r="F17" s="49"/>
    </row>
    <row r="18" spans="1:10" x14ac:dyDescent="0.35">
      <c r="A18" s="55"/>
      <c r="B18" s="55"/>
      <c r="D18" s="47"/>
      <c r="E18" s="48"/>
      <c r="F18" s="49"/>
    </row>
    <row r="19" spans="1:10" x14ac:dyDescent="0.35">
      <c r="A19" s="55"/>
      <c r="B19" s="55"/>
      <c r="D19" s="47"/>
      <c r="E19" s="48"/>
      <c r="F19" s="49"/>
      <c r="I19" s="53" t="s">
        <v>303</v>
      </c>
      <c r="J19" t="s">
        <v>306</v>
      </c>
    </row>
    <row r="20" spans="1:10" x14ac:dyDescent="0.35">
      <c r="A20" s="55"/>
      <c r="B20" s="55"/>
      <c r="D20" s="47"/>
      <c r="E20" s="48"/>
      <c r="F20" s="49"/>
      <c r="I20" s="54" t="s">
        <v>229</v>
      </c>
      <c r="J20">
        <v>32</v>
      </c>
    </row>
    <row r="21" spans="1:10" x14ac:dyDescent="0.35">
      <c r="A21" s="55"/>
      <c r="B21" s="55"/>
      <c r="D21" s="47"/>
      <c r="E21" s="48"/>
      <c r="F21" s="49"/>
      <c r="I21" s="54" t="s">
        <v>253</v>
      </c>
      <c r="J21">
        <v>226</v>
      </c>
    </row>
    <row r="22" spans="1:10" x14ac:dyDescent="0.35">
      <c r="A22" s="55"/>
      <c r="B22" s="55"/>
      <c r="D22" s="47"/>
      <c r="E22" s="48"/>
      <c r="F22" s="49"/>
      <c r="I22" s="54" t="s">
        <v>236</v>
      </c>
      <c r="J22">
        <v>75</v>
      </c>
    </row>
    <row r="23" spans="1:10" x14ac:dyDescent="0.35">
      <c r="A23" s="55"/>
      <c r="B23" s="55"/>
      <c r="D23" s="47"/>
      <c r="E23" s="48"/>
      <c r="F23" s="49"/>
      <c r="I23" s="54" t="s">
        <v>245</v>
      </c>
      <c r="J23">
        <v>36</v>
      </c>
    </row>
    <row r="24" spans="1:10" x14ac:dyDescent="0.35">
      <c r="A24" s="55"/>
      <c r="B24" s="55"/>
      <c r="D24" s="47"/>
      <c r="E24" s="48"/>
      <c r="F24" s="49"/>
      <c r="I24" s="54" t="s">
        <v>240</v>
      </c>
      <c r="J24">
        <v>133</v>
      </c>
    </row>
    <row r="25" spans="1:10" x14ac:dyDescent="0.35">
      <c r="A25" s="55"/>
      <c r="B25" s="55"/>
      <c r="D25" s="47"/>
      <c r="E25" s="48"/>
      <c r="F25" s="49"/>
      <c r="I25" s="54" t="s">
        <v>241</v>
      </c>
      <c r="J25">
        <v>172</v>
      </c>
    </row>
    <row r="26" spans="1:10" x14ac:dyDescent="0.35">
      <c r="A26" s="55"/>
      <c r="B26" s="55"/>
      <c r="D26" s="47"/>
      <c r="E26" s="48"/>
      <c r="F26" s="49"/>
      <c r="I26" s="54" t="s">
        <v>238</v>
      </c>
      <c r="J26">
        <v>75</v>
      </c>
    </row>
    <row r="27" spans="1:10" x14ac:dyDescent="0.35">
      <c r="A27" s="55"/>
      <c r="B27" s="55"/>
      <c r="D27" s="47"/>
      <c r="E27" s="48"/>
      <c r="F27" s="49"/>
      <c r="I27" s="54" t="s">
        <v>250</v>
      </c>
      <c r="J27">
        <v>75</v>
      </c>
    </row>
    <row r="28" spans="1:10" x14ac:dyDescent="0.35">
      <c r="A28" s="55"/>
      <c r="B28" s="55"/>
      <c r="D28" s="47"/>
      <c r="E28" s="48"/>
      <c r="F28" s="49"/>
      <c r="I28" s="54" t="s">
        <v>252</v>
      </c>
      <c r="J28">
        <v>75</v>
      </c>
    </row>
    <row r="29" spans="1:10" x14ac:dyDescent="0.35">
      <c r="A29" s="55"/>
      <c r="B29" s="55"/>
      <c r="D29" s="47"/>
      <c r="E29" s="48"/>
      <c r="F29" s="49"/>
      <c r="I29" s="54" t="s">
        <v>239</v>
      </c>
      <c r="J29">
        <v>107</v>
      </c>
    </row>
    <row r="30" spans="1:10" x14ac:dyDescent="0.35">
      <c r="A30" s="55"/>
      <c r="B30" s="55"/>
      <c r="D30" s="47"/>
      <c r="E30" s="48"/>
      <c r="F30" s="49"/>
      <c r="I30" s="54" t="s">
        <v>304</v>
      </c>
      <c r="J30">
        <v>1006</v>
      </c>
    </row>
    <row r="31" spans="1:10" x14ac:dyDescent="0.35">
      <c r="A31" s="55"/>
      <c r="B31" s="55"/>
      <c r="D31" s="47"/>
      <c r="E31" s="48"/>
      <c r="F31" s="49"/>
    </row>
    <row r="32" spans="1:10" x14ac:dyDescent="0.35">
      <c r="A32" s="55"/>
      <c r="B32" s="55"/>
      <c r="D32" s="47"/>
      <c r="E32" s="48"/>
      <c r="F32" s="49"/>
    </row>
    <row r="33" spans="1:11" x14ac:dyDescent="0.35">
      <c r="A33" s="55"/>
      <c r="B33" s="55"/>
      <c r="D33" s="50"/>
      <c r="E33" s="51"/>
      <c r="F33" s="52"/>
    </row>
    <row r="34" spans="1:11" x14ac:dyDescent="0.35">
      <c r="A34" s="55"/>
      <c r="B34" s="55"/>
    </row>
    <row r="35" spans="1:11" x14ac:dyDescent="0.35">
      <c r="A35" s="55"/>
      <c r="B35" s="55"/>
      <c r="I35" s="44"/>
      <c r="J35" s="45"/>
      <c r="K35" s="46"/>
    </row>
    <row r="36" spans="1:11" x14ac:dyDescent="0.35">
      <c r="I36" s="47"/>
      <c r="J36" s="48"/>
      <c r="K36" s="49"/>
    </row>
    <row r="37" spans="1:11" x14ac:dyDescent="0.35">
      <c r="I37" s="47"/>
      <c r="J37" s="48"/>
      <c r="K37" s="49"/>
    </row>
    <row r="38" spans="1:11" x14ac:dyDescent="0.35">
      <c r="I38" s="47"/>
      <c r="J38" s="48"/>
      <c r="K38" s="49"/>
    </row>
    <row r="39" spans="1:11" x14ac:dyDescent="0.35">
      <c r="I39" s="47"/>
      <c r="J39" s="48"/>
      <c r="K39" s="49"/>
    </row>
    <row r="40" spans="1:11" x14ac:dyDescent="0.35">
      <c r="I40" s="47"/>
      <c r="J40" s="48"/>
      <c r="K40" s="49"/>
    </row>
    <row r="41" spans="1:11" x14ac:dyDescent="0.35">
      <c r="I41" s="47"/>
      <c r="J41" s="48"/>
      <c r="K41" s="49"/>
    </row>
    <row r="42" spans="1:11" x14ac:dyDescent="0.35">
      <c r="B42" s="53" t="s">
        <v>303</v>
      </c>
      <c r="C42" t="s">
        <v>337</v>
      </c>
      <c r="I42" s="47"/>
      <c r="J42" s="48"/>
      <c r="K42" s="49"/>
    </row>
    <row r="43" spans="1:11" x14ac:dyDescent="0.35">
      <c r="B43" s="54" t="s">
        <v>159</v>
      </c>
      <c r="C43" s="63">
        <v>50</v>
      </c>
      <c r="I43" s="47"/>
      <c r="J43" s="48"/>
      <c r="K43" s="49"/>
    </row>
    <row r="44" spans="1:11" x14ac:dyDescent="0.35">
      <c r="B44" s="54" t="s">
        <v>160</v>
      </c>
      <c r="C44" s="63">
        <v>1</v>
      </c>
      <c r="I44" s="47"/>
      <c r="J44" s="48"/>
      <c r="K44" s="49"/>
    </row>
    <row r="45" spans="1:11" x14ac:dyDescent="0.35">
      <c r="B45" s="54" t="s">
        <v>304</v>
      </c>
      <c r="C45" s="63">
        <v>51</v>
      </c>
      <c r="I45" s="47"/>
      <c r="J45" s="48"/>
      <c r="K45" s="49"/>
    </row>
    <row r="46" spans="1:11" x14ac:dyDescent="0.35">
      <c r="I46" s="47"/>
      <c r="J46" s="48"/>
      <c r="K46" s="49"/>
    </row>
    <row r="47" spans="1:11" x14ac:dyDescent="0.35">
      <c r="I47" s="47"/>
      <c r="J47" s="48"/>
      <c r="K47" s="49"/>
    </row>
    <row r="48" spans="1:11" x14ac:dyDescent="0.35">
      <c r="I48" s="47"/>
      <c r="J48" s="48"/>
      <c r="K48" s="49"/>
    </row>
    <row r="49" spans="9:11" x14ac:dyDescent="0.35">
      <c r="I49" s="47"/>
      <c r="J49" s="48"/>
      <c r="K49" s="49"/>
    </row>
    <row r="50" spans="9:11" x14ac:dyDescent="0.35">
      <c r="I50" s="47"/>
      <c r="J50" s="48"/>
      <c r="K50" s="49"/>
    </row>
    <row r="51" spans="9:11" x14ac:dyDescent="0.35">
      <c r="I51" s="47"/>
      <c r="J51" s="48"/>
      <c r="K51" s="49"/>
    </row>
    <row r="52" spans="9:11" x14ac:dyDescent="0.35">
      <c r="I52" s="50"/>
      <c r="J52" s="51"/>
      <c r="K52" s="52"/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4253D-32FC-41E4-87D1-49E35282BB4F}">
  <sheetPr codeName="Feuil12"/>
  <dimension ref="B1:J36"/>
  <sheetViews>
    <sheetView zoomScale="80" zoomScaleNormal="80" workbookViewId="0">
      <selection activeCell="B1" sqref="B1"/>
    </sheetView>
  </sheetViews>
  <sheetFormatPr baseColWidth="10" defaultRowHeight="14.5" x14ac:dyDescent="0.35"/>
  <cols>
    <col min="2" max="2" width="17.7265625" customWidth="1"/>
    <col min="3" max="3" width="26.36328125" bestFit="1" customWidth="1"/>
    <col min="4" max="4" width="12" customWidth="1"/>
    <col min="5" max="5" width="14.36328125" bestFit="1" customWidth="1"/>
    <col min="7" max="7" width="15.81640625" bestFit="1" customWidth="1"/>
    <col min="8" max="8" width="13.54296875" customWidth="1"/>
    <col min="9" max="9" width="13.26953125" customWidth="1"/>
    <col min="10" max="10" width="13.1796875" customWidth="1"/>
  </cols>
  <sheetData>
    <row r="1" spans="2:10" ht="22.5" customHeight="1" x14ac:dyDescent="0.35"/>
    <row r="2" spans="2:10" ht="22.5" customHeight="1" x14ac:dyDescent="0.35"/>
    <row r="3" spans="2:10" ht="22.5" customHeight="1" x14ac:dyDescent="0.35"/>
    <row r="4" spans="2:10" ht="22.5" customHeight="1" x14ac:dyDescent="0.35"/>
    <row r="5" spans="2:10" ht="18" customHeight="1" x14ac:dyDescent="0.35">
      <c r="B5" s="4" t="s">
        <v>19</v>
      </c>
      <c r="C5" s="4" t="s">
        <v>20</v>
      </c>
      <c r="D5" s="4" t="s">
        <v>21</v>
      </c>
      <c r="E5" s="4" t="s">
        <v>22</v>
      </c>
      <c r="F5" s="4" t="s">
        <v>23</v>
      </c>
      <c r="G5" s="4" t="s">
        <v>24</v>
      </c>
      <c r="H5" s="4" t="s">
        <v>25</v>
      </c>
      <c r="I5" s="4" t="s">
        <v>26</v>
      </c>
      <c r="J5" s="5" t="s">
        <v>27</v>
      </c>
    </row>
    <row r="6" spans="2:10" x14ac:dyDescent="0.35">
      <c r="B6" t="s">
        <v>31</v>
      </c>
      <c r="C6" t="s">
        <v>227</v>
      </c>
      <c r="E6" s="19">
        <v>9400</v>
      </c>
      <c r="F6">
        <f>SUMIFS(Tableau1[Nombre],Tableau1[Nr article],Tableau14[[#This Row],[Nr Article]],Tableau1[Type],"Entrée")-SUMIFS(Tableau1[Nombre],Tableau1[Nr article],Tableau14[[#This Row],[Nr Article]],Tableau1[Type],"Sortie")</f>
        <v>11</v>
      </c>
      <c r="G6" s="20">
        <f>E6*F6</f>
        <v>103400</v>
      </c>
      <c r="H6" s="21">
        <f>0.2*Tableau14[[#This Row],[stock]]</f>
        <v>2.2000000000000002</v>
      </c>
      <c r="I6" s="6" t="str">
        <f t="shared" ref="I6:I18" si="0">IF(F6&lt;H6,1,"")</f>
        <v/>
      </c>
      <c r="J6" t="s">
        <v>28</v>
      </c>
    </row>
    <row r="7" spans="2:10" x14ac:dyDescent="0.35">
      <c r="B7" t="s">
        <v>38</v>
      </c>
      <c r="C7" t="s">
        <v>228</v>
      </c>
      <c r="E7" s="19">
        <v>18900</v>
      </c>
      <c r="F7">
        <f>SUMIFS(Tableau1[Nombre],Tableau1[Nr article],Tableau14[[#This Row],[Nr Article]],Tableau1[Type],"Entrée")-SUMIFS(Tableau1[Nombre],Tableau1[Nr article],Tableau14[[#This Row],[Nr Article]],Tableau1[Type],"Sortie")</f>
        <v>94</v>
      </c>
      <c r="G7" s="20">
        <f t="shared" ref="G7:G18" si="1">E7*F7</f>
        <v>1776600</v>
      </c>
      <c r="H7" s="21">
        <f>0.2*Tableau14[[#This Row],[stock]]</f>
        <v>18.8</v>
      </c>
      <c r="I7" s="6" t="str">
        <f t="shared" si="0"/>
        <v/>
      </c>
      <c r="J7" t="s">
        <v>28</v>
      </c>
    </row>
    <row r="8" spans="2:10" x14ac:dyDescent="0.35">
      <c r="B8" t="s">
        <v>40</v>
      </c>
      <c r="C8" t="s">
        <v>230</v>
      </c>
      <c r="E8" s="19">
        <v>3900</v>
      </c>
      <c r="F8">
        <f>SUMIFS(Tableau1[Nombre],Tableau1[Nr article],Tableau14[[#This Row],[Nr Article]],Tableau1[Type],"Entrée")-SUMIFS(Tableau1[Nombre],Tableau1[Nr article],Tableau14[[#This Row],[Nr Article]],Tableau1[Type],"Sortie")</f>
        <v>157</v>
      </c>
      <c r="G8" s="20">
        <f t="shared" si="1"/>
        <v>612300</v>
      </c>
      <c r="H8" s="21">
        <f>0.2*Tableau14[[#This Row],[stock]]</f>
        <v>31.400000000000002</v>
      </c>
      <c r="I8" s="6" t="str">
        <f t="shared" si="0"/>
        <v/>
      </c>
      <c r="J8" t="s">
        <v>28</v>
      </c>
    </row>
    <row r="9" spans="2:10" x14ac:dyDescent="0.35">
      <c r="B9" t="s">
        <v>41</v>
      </c>
      <c r="C9" t="s">
        <v>231</v>
      </c>
      <c r="E9" s="19">
        <v>3900</v>
      </c>
      <c r="F9">
        <f>SUMIFS(Tableau1[Nombre],Tableau1[Nr article],Tableau14[[#This Row],[Nr Article]],Tableau1[Type],"Entrée")-SUMIFS(Tableau1[Nombre],Tableau1[Nr article],Tableau14[[#This Row],[Nr Article]],Tableau1[Type],"Sortie")</f>
        <v>216</v>
      </c>
      <c r="G9" s="20">
        <f t="shared" si="1"/>
        <v>842400</v>
      </c>
      <c r="H9" s="21">
        <f>0.2*Tableau14[[#This Row],[stock]]</f>
        <v>43.2</v>
      </c>
      <c r="I9" s="6" t="str">
        <f t="shared" si="0"/>
        <v/>
      </c>
      <c r="J9" t="s">
        <v>28</v>
      </c>
    </row>
    <row r="10" spans="2:10" x14ac:dyDescent="0.35">
      <c r="B10" t="s">
        <v>42</v>
      </c>
      <c r="C10" t="s">
        <v>232</v>
      </c>
      <c r="E10" s="19">
        <v>12900</v>
      </c>
      <c r="F10">
        <f>SUMIFS(Tableau1[Nombre],Tableau1[Nr article],Tableau14[[#This Row],[Nr Article]],Tableau1[Type],"Entrée")-SUMIFS(Tableau1[Nombre],Tableau1[Nr article],Tableau14[[#This Row],[Nr Article]],Tableau1[Type],"Sortie")</f>
        <v>135</v>
      </c>
      <c r="G10" s="20">
        <f t="shared" si="1"/>
        <v>1741500</v>
      </c>
      <c r="H10" s="21">
        <f>0.2*Tableau14[[#This Row],[stock]]</f>
        <v>27</v>
      </c>
      <c r="I10" s="6" t="str">
        <f t="shared" si="0"/>
        <v/>
      </c>
      <c r="J10" t="s">
        <v>28</v>
      </c>
    </row>
    <row r="11" spans="2:10" x14ac:dyDescent="0.35">
      <c r="B11" t="s">
        <v>43</v>
      </c>
      <c r="C11" t="s">
        <v>233</v>
      </c>
      <c r="E11" s="19">
        <v>129000</v>
      </c>
      <c r="F11">
        <f>SUMIFS(Tableau1[Nombre],Tableau1[Nr article],Tableau14[[#This Row],[Nr Article]],Tableau1[Type],"Entrée")-SUMIFS(Tableau1[Nombre],Tableau1[Nr article],Tableau14[[#This Row],[Nr Article]],Tableau1[Type],"Sortie")</f>
        <v>24</v>
      </c>
      <c r="G11" s="20">
        <f t="shared" si="1"/>
        <v>3096000</v>
      </c>
      <c r="H11" s="21">
        <f>0.2*Tableau14[[#This Row],[stock]]</f>
        <v>4.8000000000000007</v>
      </c>
      <c r="I11" s="6" t="str">
        <f t="shared" si="0"/>
        <v/>
      </c>
      <c r="J11" t="s">
        <v>28</v>
      </c>
    </row>
    <row r="12" spans="2:10" x14ac:dyDescent="0.35">
      <c r="B12" t="s">
        <v>44</v>
      </c>
      <c r="C12" t="s">
        <v>234</v>
      </c>
      <c r="E12" s="19">
        <v>45000</v>
      </c>
      <c r="F12">
        <f>SUMIFS(Tableau1[Nombre],Tableau1[Nr article],Tableau14[[#This Row],[Nr Article]],Tableau1[Type],"Entrée")-SUMIFS(Tableau1[Nombre],Tableau1[Nr article],Tableau14[[#This Row],[Nr Article]],Tableau1[Type],"Sortie")</f>
        <v>29</v>
      </c>
      <c r="G12" s="20">
        <f t="shared" si="1"/>
        <v>1305000</v>
      </c>
      <c r="H12" s="21">
        <f>0.2*Tableau14[[#This Row],[stock]]</f>
        <v>5.8000000000000007</v>
      </c>
      <c r="I12" s="6" t="str">
        <f t="shared" si="0"/>
        <v/>
      </c>
      <c r="J12" t="s">
        <v>28</v>
      </c>
    </row>
    <row r="13" spans="2:10" x14ac:dyDescent="0.35">
      <c r="B13" t="s">
        <v>45</v>
      </c>
      <c r="C13" t="s">
        <v>235</v>
      </c>
      <c r="E13" s="19">
        <v>35000</v>
      </c>
      <c r="F13">
        <f>SUMIFS(Tableau1[Nombre],Tableau1[Nr article],Tableau14[[#This Row],[Nr Article]],Tableau1[Type],"Entrée")-SUMIFS(Tableau1[Nombre],Tableau1[Nr article],Tableau14[[#This Row],[Nr Article]],Tableau1[Type],"Sortie")</f>
        <v>66</v>
      </c>
      <c r="G13" s="20">
        <f t="shared" si="1"/>
        <v>2310000</v>
      </c>
      <c r="H13" s="21">
        <f>0.2*Tableau14[[#This Row],[stock]]</f>
        <v>13.200000000000001</v>
      </c>
      <c r="I13" s="6" t="str">
        <f t="shared" si="0"/>
        <v/>
      </c>
      <c r="J13" t="s">
        <v>28</v>
      </c>
    </row>
    <row r="14" spans="2:10" x14ac:dyDescent="0.35">
      <c r="B14" t="s">
        <v>46</v>
      </c>
      <c r="C14" t="s">
        <v>236</v>
      </c>
      <c r="E14" s="19">
        <v>32000</v>
      </c>
      <c r="F14">
        <f>SUMIFS(Tableau1[Nombre],Tableau1[Nr article],Tableau14[[#This Row],[Nr Article]],Tableau1[Type],"Entrée")-SUMIFS(Tableau1[Nombre],Tableau1[Nr article],Tableau14[[#This Row],[Nr Article]],Tableau1[Type],"Sortie")</f>
        <v>58</v>
      </c>
      <c r="G14" s="20">
        <f t="shared" si="1"/>
        <v>1856000</v>
      </c>
      <c r="H14" s="21">
        <f>0.2*Tableau14[[#This Row],[stock]]</f>
        <v>11.600000000000001</v>
      </c>
      <c r="I14" s="6" t="str">
        <f t="shared" si="0"/>
        <v/>
      </c>
      <c r="J14" t="s">
        <v>28</v>
      </c>
    </row>
    <row r="15" spans="2:10" x14ac:dyDescent="0.35">
      <c r="B15" t="s">
        <v>47</v>
      </c>
      <c r="C15" t="s">
        <v>237</v>
      </c>
      <c r="E15" s="19">
        <v>11600</v>
      </c>
      <c r="F15">
        <f>SUMIFS(Tableau1[Nombre],Tableau1[Nr article],Tableau14[[#This Row],[Nr Article]],Tableau1[Type],"Entrée")-SUMIFS(Tableau1[Nombre],Tableau1[Nr article],Tableau14[[#This Row],[Nr Article]],Tableau1[Type],"Sortie")</f>
        <v>75</v>
      </c>
      <c r="G15" s="20">
        <f t="shared" si="1"/>
        <v>870000</v>
      </c>
      <c r="H15" s="21">
        <f>0.2*Tableau14[[#This Row],[stock]]</f>
        <v>15</v>
      </c>
      <c r="I15" s="6" t="str">
        <f t="shared" si="0"/>
        <v/>
      </c>
      <c r="J15" t="s">
        <v>28</v>
      </c>
    </row>
    <row r="16" spans="2:10" x14ac:dyDescent="0.35">
      <c r="B16" t="s">
        <v>48</v>
      </c>
      <c r="C16" t="s">
        <v>238</v>
      </c>
      <c r="E16" s="19">
        <v>19000</v>
      </c>
      <c r="F16">
        <f>SUMIFS(Tableau1[Nombre],Tableau1[Nr article],Tableau14[[#This Row],[Nr Article]],Tableau1[Type],"Entrée")-SUMIFS(Tableau1[Nombre],Tableau1[Nr article],Tableau14[[#This Row],[Nr Article]],Tableau1[Type],"Sortie")</f>
        <v>75</v>
      </c>
      <c r="G16" s="20">
        <f t="shared" si="1"/>
        <v>1425000</v>
      </c>
      <c r="H16" s="21">
        <f>0.2*Tableau14[[#This Row],[stock]]</f>
        <v>15</v>
      </c>
      <c r="I16" s="6" t="str">
        <f t="shared" si="0"/>
        <v/>
      </c>
      <c r="J16" t="s">
        <v>28</v>
      </c>
    </row>
    <row r="17" spans="2:10" x14ac:dyDescent="0.35">
      <c r="B17" t="s">
        <v>49</v>
      </c>
      <c r="C17" t="s">
        <v>239</v>
      </c>
      <c r="E17" s="18">
        <v>89800</v>
      </c>
      <c r="F17">
        <f>SUMIFS(Tableau1[Nombre],Tableau1[Nr article],Tableau14[[#This Row],[Nr Article]],Tableau1[Type],"Entrée")-SUMIFS(Tableau1[Nombre],Tableau1[Nr article],Tableau14[[#This Row],[Nr Article]],Tableau1[Type],"Sortie")</f>
        <v>94</v>
      </c>
      <c r="G17" s="20">
        <f>Tableau14[[#This Row],[Prix Unité]]*Tableau14[[#This Row],[stock]]</f>
        <v>8441200</v>
      </c>
      <c r="H17" s="21">
        <f>0.2*Tableau14[[#This Row],[stock]]</f>
        <v>18.8</v>
      </c>
      <c r="I17" s="6" t="str">
        <f t="shared" si="0"/>
        <v/>
      </c>
      <c r="J17" t="s">
        <v>28</v>
      </c>
    </row>
    <row r="18" spans="2:10" x14ac:dyDescent="0.35">
      <c r="B18" t="s">
        <v>50</v>
      </c>
      <c r="C18" t="s">
        <v>240</v>
      </c>
      <c r="E18" s="19">
        <v>7600</v>
      </c>
      <c r="F18">
        <f>SUMIFS(Tableau1[Nombre],Tableau1[Nr article],Tableau14[[#This Row],[Nr Article]],Tableau1[Type],"Entrée")-SUMIFS(Tableau1[Nombre],Tableau1[Nr article],Tableau14[[#This Row],[Nr Article]],Tableau1[Type],"Sortie")</f>
        <v>83</v>
      </c>
      <c r="G18" s="20">
        <f t="shared" si="1"/>
        <v>630800</v>
      </c>
      <c r="H18" s="21">
        <f>0.2*Tableau14[[#This Row],[stock]]</f>
        <v>16.600000000000001</v>
      </c>
      <c r="I18" s="6" t="str">
        <f t="shared" si="0"/>
        <v/>
      </c>
      <c r="J18" t="s">
        <v>28</v>
      </c>
    </row>
    <row r="19" spans="2:10" x14ac:dyDescent="0.35">
      <c r="B19" t="s">
        <v>254</v>
      </c>
      <c r="C19" t="s">
        <v>241</v>
      </c>
      <c r="E19" s="19">
        <v>12800</v>
      </c>
      <c r="F19">
        <f>SUMIFS(Tableau1[Nombre],Tableau1[Nr article],Tableau14[[#This Row],[Nr Article]],Tableau1[Type],"Entrée")-SUMIFS(Tableau1[Nombre],Tableau1[Nr article],Tableau14[[#This Row],[Nr Article]],Tableau1[Type],"Sortie")</f>
        <v>144</v>
      </c>
      <c r="G19" s="20">
        <f>E19*F19</f>
        <v>1843200</v>
      </c>
      <c r="H19" s="21">
        <f>0.2*Tableau14[[#This Row],[stock]]</f>
        <v>28.8</v>
      </c>
      <c r="I19" s="6" t="str">
        <f>IF(F19&lt;H19,1,"")</f>
        <v/>
      </c>
      <c r="J19" t="s">
        <v>28</v>
      </c>
    </row>
    <row r="20" spans="2:10" x14ac:dyDescent="0.35">
      <c r="B20" t="s">
        <v>255</v>
      </c>
      <c r="C20" t="s">
        <v>242</v>
      </c>
      <c r="E20" s="19">
        <v>339000</v>
      </c>
      <c r="F20">
        <f>SUMIFS(Tableau1[Nombre],Tableau1[Nr article],Tableau14[[#This Row],[Nr Article]],Tableau1[Type],"Entrée")-SUMIFS(Tableau1[Nombre],Tableau1[Nr article],Tableau14[[#This Row],[Nr Article]],Tableau1[Type],"Sortie")</f>
        <v>57</v>
      </c>
      <c r="G20" s="20">
        <f t="shared" ref="G20:G32" si="2">E20*F20</f>
        <v>19323000</v>
      </c>
      <c r="H20" s="21">
        <f>0.2*Tableau14[[#This Row],[stock]]</f>
        <v>11.4</v>
      </c>
      <c r="I20" s="6" t="str">
        <f t="shared" ref="I20:I32" si="3">IF(F20&lt;H20,1,"")</f>
        <v/>
      </c>
      <c r="J20" t="s">
        <v>28</v>
      </c>
    </row>
    <row r="21" spans="2:10" x14ac:dyDescent="0.35">
      <c r="B21" t="s">
        <v>256</v>
      </c>
      <c r="C21" t="s">
        <v>243</v>
      </c>
      <c r="E21" s="19">
        <v>127000</v>
      </c>
      <c r="F21">
        <f>SUMIFS(Tableau1[Nombre],Tableau1[Nr article],Tableau14[[#This Row],[Nr Article]],Tableau1[Type],"Entrée")-SUMIFS(Tableau1[Nombre],Tableau1[Nr article],Tableau14[[#This Row],[Nr Article]],Tableau1[Type],"Sortie")</f>
        <v>65</v>
      </c>
      <c r="G21" s="20">
        <f t="shared" si="2"/>
        <v>8255000</v>
      </c>
      <c r="H21" s="21">
        <f>0.2*Tableau14[[#This Row],[stock]]</f>
        <v>13</v>
      </c>
      <c r="I21" s="6" t="str">
        <f t="shared" si="3"/>
        <v/>
      </c>
      <c r="J21" t="s">
        <v>28</v>
      </c>
    </row>
    <row r="22" spans="2:10" x14ac:dyDescent="0.35">
      <c r="B22" t="s">
        <v>257</v>
      </c>
      <c r="C22" t="s">
        <v>268</v>
      </c>
      <c r="E22" s="19">
        <v>61700</v>
      </c>
      <c r="F22">
        <f>SUMIFS(Tableau1[Nombre],Tableau1[Nr article],Tableau14[[#This Row],[Nr Article]],Tableau1[Type],"Entrée")-SUMIFS(Tableau1[Nombre],Tableau1[Nr article],Tableau14[[#This Row],[Nr Article]],Tableau1[Type],"Sortie")</f>
        <v>75</v>
      </c>
      <c r="G22" s="20">
        <f t="shared" si="2"/>
        <v>4627500</v>
      </c>
      <c r="H22" s="21">
        <f>0.2*Tableau14[[#This Row],[stock]]</f>
        <v>15</v>
      </c>
      <c r="I22" s="6" t="str">
        <f t="shared" si="3"/>
        <v/>
      </c>
      <c r="J22" t="s">
        <v>28</v>
      </c>
    </row>
    <row r="23" spans="2:10" x14ac:dyDescent="0.35">
      <c r="B23" t="s">
        <v>258</v>
      </c>
      <c r="C23" t="s">
        <v>244</v>
      </c>
      <c r="E23" s="19">
        <v>4900</v>
      </c>
      <c r="F23">
        <f>SUMIFS(Tableau1[Nombre],Tableau1[Nr article],Tableau14[[#This Row],[Nr Article]],Tableau1[Type],"Entrée")-SUMIFS(Tableau1[Nombre],Tableau1[Nr article],Tableau14[[#This Row],[Nr Article]],Tableau1[Type],"Sortie")</f>
        <v>62</v>
      </c>
      <c r="G23" s="20">
        <f t="shared" si="2"/>
        <v>303800</v>
      </c>
      <c r="H23" s="21">
        <f>0.2*Tableau14[[#This Row],[stock]]</f>
        <v>12.4</v>
      </c>
      <c r="I23" s="6" t="str">
        <f t="shared" si="3"/>
        <v/>
      </c>
      <c r="J23" t="s">
        <v>28</v>
      </c>
    </row>
    <row r="24" spans="2:10" x14ac:dyDescent="0.35">
      <c r="B24" t="s">
        <v>259</v>
      </c>
      <c r="C24" t="s">
        <v>245</v>
      </c>
      <c r="E24" s="19">
        <v>6650</v>
      </c>
      <c r="F24">
        <f>SUMIFS(Tableau1[Nombre],Tableau1[Nr article],Tableau14[[#This Row],[Nr Article]],Tableau1[Type],"Entrée")-SUMIFS(Tableau1[Nombre],Tableau1[Nr article],Tableau14[[#This Row],[Nr Article]],Tableau1[Type],"Sortie")</f>
        <v>13</v>
      </c>
      <c r="G24" s="20">
        <f t="shared" si="2"/>
        <v>86450</v>
      </c>
      <c r="H24" s="21">
        <f>0.2*Tableau14[[#This Row],[stock]]</f>
        <v>2.6</v>
      </c>
      <c r="I24" s="6" t="str">
        <f t="shared" si="3"/>
        <v/>
      </c>
      <c r="J24" t="s">
        <v>28</v>
      </c>
    </row>
    <row r="25" spans="2:10" x14ac:dyDescent="0.35">
      <c r="B25" t="s">
        <v>260</v>
      </c>
      <c r="C25" t="s">
        <v>246</v>
      </c>
      <c r="E25" s="19">
        <v>72900</v>
      </c>
      <c r="F25">
        <f>SUMIFS(Tableau1[Nombre],Tableau1[Nr article],Tableau14[[#This Row],[Nr Article]],Tableau1[Type],"Entrée")-SUMIFS(Tableau1[Nombre],Tableau1[Nr article],Tableau14[[#This Row],[Nr Article]],Tableau1[Type],"Sortie")</f>
        <v>91</v>
      </c>
      <c r="G25" s="20">
        <f t="shared" si="2"/>
        <v>6633900</v>
      </c>
      <c r="H25" s="21">
        <f>0.2*Tableau14[[#This Row],[stock]]</f>
        <v>18.2</v>
      </c>
      <c r="I25" s="6" t="str">
        <f t="shared" si="3"/>
        <v/>
      </c>
      <c r="J25" t="s">
        <v>28</v>
      </c>
    </row>
    <row r="26" spans="2:10" x14ac:dyDescent="0.35">
      <c r="B26" t="s">
        <v>261</v>
      </c>
      <c r="C26" t="s">
        <v>247</v>
      </c>
      <c r="E26" s="19">
        <v>4200</v>
      </c>
      <c r="F26">
        <f>SUMIFS(Tableau1[Nombre],Tableau1[Nr article],Tableau14[[#This Row],[Nr Article]],Tableau1[Type],"Entrée")-SUMIFS(Tableau1[Nombre],Tableau1[Nr article],Tableau14[[#This Row],[Nr Article]],Tableau1[Type],"Sortie")</f>
        <v>126</v>
      </c>
      <c r="G26" s="20">
        <f t="shared" si="2"/>
        <v>529200</v>
      </c>
      <c r="H26" s="21">
        <f>0.2*Tableau14[[#This Row],[stock]]</f>
        <v>25.200000000000003</v>
      </c>
      <c r="I26" s="6" t="str">
        <f t="shared" si="3"/>
        <v/>
      </c>
      <c r="J26" t="s">
        <v>28</v>
      </c>
    </row>
    <row r="27" spans="2:10" x14ac:dyDescent="0.35">
      <c r="B27" t="s">
        <v>262</v>
      </c>
      <c r="C27" t="s">
        <v>248</v>
      </c>
      <c r="E27" s="19">
        <v>56000</v>
      </c>
      <c r="F27">
        <f>SUMIFS(Tableau1[Nombre],Tableau1[Nr article],Tableau14[[#This Row],[Nr Article]],Tableau1[Type],"Entrée")-SUMIFS(Tableau1[Nombre],Tableau1[Nr article],Tableau14[[#This Row],[Nr Article]],Tableau1[Type],"Sortie")</f>
        <v>75</v>
      </c>
      <c r="G27" s="20">
        <f t="shared" si="2"/>
        <v>4200000</v>
      </c>
      <c r="H27" s="21">
        <f>0.2*Tableau14[[#This Row],[stock]]</f>
        <v>15</v>
      </c>
      <c r="I27" s="6" t="str">
        <f t="shared" si="3"/>
        <v/>
      </c>
      <c r="J27" t="s">
        <v>28</v>
      </c>
    </row>
    <row r="28" spans="2:10" x14ac:dyDescent="0.35">
      <c r="B28" t="s">
        <v>263</v>
      </c>
      <c r="C28" t="s">
        <v>249</v>
      </c>
      <c r="E28" s="19">
        <v>14700</v>
      </c>
      <c r="F28">
        <f>SUMIFS(Tableau1[Nombre],Tableau1[Nr article],Tableau14[[#This Row],[Nr Article]],Tableau1[Type],"Entrée")-SUMIFS(Tableau1[Nombre],Tableau1[Nr article],Tableau14[[#This Row],[Nr Article]],Tableau1[Type],"Sortie")</f>
        <v>75</v>
      </c>
      <c r="G28" s="20">
        <f t="shared" si="2"/>
        <v>1102500</v>
      </c>
      <c r="H28" s="21">
        <f>0.2*Tableau14[[#This Row],[stock]]</f>
        <v>15</v>
      </c>
      <c r="I28" s="6" t="str">
        <f t="shared" si="3"/>
        <v/>
      </c>
      <c r="J28" t="s">
        <v>28</v>
      </c>
    </row>
    <row r="29" spans="2:10" x14ac:dyDescent="0.35">
      <c r="B29" t="s">
        <v>264</v>
      </c>
      <c r="C29" t="s">
        <v>250</v>
      </c>
      <c r="E29" s="19">
        <v>145000</v>
      </c>
      <c r="F29">
        <f>SUMIFS(Tableau1[Nombre],Tableau1[Nr article],Tableau14[[#This Row],[Nr Article]],Tableau1[Type],"Entrée")-SUMIFS(Tableau1[Nombre],Tableau1[Nr article],Tableau14[[#This Row],[Nr Article]],Tableau1[Type],"Sortie")</f>
        <v>75</v>
      </c>
      <c r="G29" s="20">
        <f t="shared" si="2"/>
        <v>10875000</v>
      </c>
      <c r="H29" s="21">
        <f>0.2*Tableau14[[#This Row],[stock]]</f>
        <v>15</v>
      </c>
      <c r="I29" s="6" t="str">
        <f t="shared" si="3"/>
        <v/>
      </c>
      <c r="J29" t="s">
        <v>28</v>
      </c>
    </row>
    <row r="30" spans="2:10" x14ac:dyDescent="0.35">
      <c r="B30" t="s">
        <v>265</v>
      </c>
      <c r="C30" t="s">
        <v>251</v>
      </c>
      <c r="E30" s="19">
        <v>6000</v>
      </c>
      <c r="F30">
        <f>SUMIFS(Tableau1[Nombre],Tableau1[Nr article],Tableau14[[#This Row],[Nr Article]],Tableau1[Type],"Entrée")-SUMIFS(Tableau1[Nombre],Tableau1[Nr article],Tableau14[[#This Row],[Nr Article]],Tableau1[Type],"Sortie")</f>
        <v>70</v>
      </c>
      <c r="G30" s="20">
        <f t="shared" si="2"/>
        <v>420000</v>
      </c>
      <c r="H30" s="21">
        <f>0.2*Tableau14[[#This Row],[stock]]</f>
        <v>14</v>
      </c>
      <c r="I30" s="6" t="str">
        <f t="shared" si="3"/>
        <v/>
      </c>
      <c r="J30" t="s">
        <v>28</v>
      </c>
    </row>
    <row r="31" spans="2:10" x14ac:dyDescent="0.35">
      <c r="B31" t="s">
        <v>266</v>
      </c>
      <c r="C31" t="s">
        <v>252</v>
      </c>
      <c r="E31" s="19">
        <v>7900</v>
      </c>
      <c r="F31">
        <f>SUMIFS(Tableau1[Nombre],Tableau1[Nr article],Tableau14[[#This Row],[Nr Article]],Tableau1[Type],"Entrée")-SUMIFS(Tableau1[Nombre],Tableau1[Nr article],Tableau14[[#This Row],[Nr Article]],Tableau1[Type],"Sortie")</f>
        <v>58</v>
      </c>
      <c r="G31" s="20">
        <f t="shared" si="2"/>
        <v>458200</v>
      </c>
      <c r="H31" s="21">
        <f>0.2*Tableau14[[#This Row],[stock]]</f>
        <v>11.600000000000001</v>
      </c>
      <c r="I31" s="6" t="str">
        <f t="shared" si="3"/>
        <v/>
      </c>
      <c r="J31" t="s">
        <v>28</v>
      </c>
    </row>
    <row r="32" spans="2:10" x14ac:dyDescent="0.35">
      <c r="B32" t="s">
        <v>267</v>
      </c>
      <c r="C32" t="s">
        <v>253</v>
      </c>
      <c r="E32" s="19">
        <v>156000</v>
      </c>
      <c r="F32">
        <f>SUMIFS(Tableau1[Nombre],Tableau1[Nr article],Tableau14[[#This Row],[Nr Article]],Tableau1[Type],"Entrée")-SUMIFS(Tableau1[Nombre],Tableau1[Nr article],Tableau14[[#This Row],[Nr Article]],Tableau1[Type],"Sortie")</f>
        <v>120</v>
      </c>
      <c r="G32" s="20">
        <f t="shared" si="2"/>
        <v>18720000</v>
      </c>
      <c r="H32" s="21">
        <f>0.2*Tableau14[[#This Row],[stock]]</f>
        <v>24</v>
      </c>
      <c r="I32" s="6" t="str">
        <f t="shared" si="3"/>
        <v/>
      </c>
      <c r="J32" t="s">
        <v>28</v>
      </c>
    </row>
    <row r="33" spans="2:10" x14ac:dyDescent="0.35">
      <c r="B33" t="s">
        <v>320</v>
      </c>
      <c r="C33" t="s">
        <v>321</v>
      </c>
      <c r="D33" t="s">
        <v>322</v>
      </c>
      <c r="E33" s="19">
        <v>75000</v>
      </c>
      <c r="F33">
        <f>SUMIFS(Tableau1[Nombre],Tableau1[Nr article],Tableau14[[#This Row],[Nr Article]],Tableau1[Type],"Entrée")-SUMIFS(Tableau1[Nombre],Tableau1[Nr article],Tableau14[[#This Row],[Nr Article]],Tableau1[Type],"Sortie")</f>
        <v>0</v>
      </c>
      <c r="G33" s="20">
        <f>E33*F33</f>
        <v>0</v>
      </c>
      <c r="H33" s="21">
        <v>25</v>
      </c>
      <c r="I33" s="6">
        <f>IF(F33&lt;H33,1,"")</f>
        <v>1</v>
      </c>
      <c r="J33" t="s">
        <v>28</v>
      </c>
    </row>
    <row r="34" spans="2:10" x14ac:dyDescent="0.35">
      <c r="B34" t="s">
        <v>39</v>
      </c>
      <c r="C34" t="s">
        <v>323</v>
      </c>
      <c r="D34" t="s">
        <v>324</v>
      </c>
      <c r="E34" s="19">
        <v>75000</v>
      </c>
      <c r="F34">
        <f>SUMIFS(Tableau1[Nombre],Tableau1[Nr article],Tableau14[[#This Row],[Nr Article]],Tableau1[Type],"Entrée")-SUMIFS(Tableau1[Nombre],Tableau1[Nr article],Tableau14[[#This Row],[Nr Article]],Tableau1[Type],"Sortie")</f>
        <v>32</v>
      </c>
      <c r="G34" s="20">
        <f>E34*F34</f>
        <v>2400000</v>
      </c>
      <c r="H34" s="21">
        <v>35</v>
      </c>
      <c r="I34" s="6">
        <f>IF(F34&lt;H34,1,"")</f>
        <v>1</v>
      </c>
      <c r="J34" t="s">
        <v>28</v>
      </c>
    </row>
    <row r="35" spans="2:10" x14ac:dyDescent="0.35">
      <c r="B35" t="s">
        <v>39</v>
      </c>
      <c r="C35" t="s">
        <v>325</v>
      </c>
      <c r="D35" t="s">
        <v>326</v>
      </c>
      <c r="E35" s="19">
        <v>12</v>
      </c>
      <c r="F35">
        <f>SUMIFS(Tableau1[Nombre],Tableau1[Nr article],Tableau14[[#This Row],[Nr Article]],Tableau1[Type],"Entrée")-SUMIFS(Tableau1[Nombre],Tableau1[Nr article],Tableau14[[#This Row],[Nr Article]],Tableau1[Type],"Sortie")</f>
        <v>32</v>
      </c>
      <c r="G35" s="20">
        <f>E35*F35</f>
        <v>384</v>
      </c>
      <c r="H35" s="21">
        <v>13</v>
      </c>
      <c r="I35" s="6" t="str">
        <f>IF(F35&lt;H35,1,"")</f>
        <v/>
      </c>
      <c r="J35" t="s">
        <v>28</v>
      </c>
    </row>
    <row r="36" spans="2:10" x14ac:dyDescent="0.35">
      <c r="B36">
        <v>2</v>
      </c>
      <c r="C36" t="s">
        <v>330</v>
      </c>
      <c r="D36" t="s">
        <v>331</v>
      </c>
      <c r="E36" s="19">
        <v>12000</v>
      </c>
      <c r="F36">
        <f>SUMIFS(Tableau1[Nombre],Tableau1[Nr article],Tableau14[[#This Row],[Nr Article]],Tableau1[Type],"Entrée")-SUMIFS(Tableau1[Nombre],Tableau1[Nr article],Tableau14[[#This Row],[Nr Article]],Tableau1[Type],"Sortie")</f>
        <v>0</v>
      </c>
      <c r="G36" s="20">
        <f>E36*F36</f>
        <v>0</v>
      </c>
      <c r="H36" s="21">
        <v>20</v>
      </c>
      <c r="I36" s="6">
        <f>IF(F36&lt;H36,1,"")</f>
        <v>1</v>
      </c>
      <c r="J36" t="s">
        <v>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1">
          <controlPr defaultSize="0" autoLine="0" r:id="rId4">
            <anchor moveWithCells="1">
              <from>
                <xdr:col>1</xdr:col>
                <xdr:colOff>12700</xdr:colOff>
                <xdr:row>0</xdr:row>
                <xdr:rowOff>0</xdr:rowOff>
              </from>
              <to>
                <xdr:col>2</xdr:col>
                <xdr:colOff>6350</xdr:colOff>
                <xdr:row>1</xdr:row>
                <xdr:rowOff>31750</xdr:rowOff>
              </to>
            </anchor>
          </controlPr>
        </control>
      </mc:Choice>
      <mc:Fallback>
        <control shapeId="12290" r:id="rId3" name="CommandButton1"/>
      </mc:Fallback>
    </mc:AlternateContent>
    <mc:AlternateContent xmlns:mc="http://schemas.openxmlformats.org/markup-compatibility/2006">
      <mc:Choice Requires="x14">
        <control shapeId="12292" r:id="rId5" name="Button 4">
          <controlPr defaultSize="0" print="0" autoFill="0" autoPict="0" macro="[0]!Bouton4_Cliquer">
            <anchor moveWithCells="1" sizeWithCells="1">
              <from>
                <xdr:col>1</xdr:col>
                <xdr:colOff>6350</xdr:colOff>
                <xdr:row>3</xdr:row>
                <xdr:rowOff>6350</xdr:rowOff>
              </from>
              <to>
                <xdr:col>2</xdr:col>
                <xdr:colOff>0</xdr:colOff>
                <xdr:row>3</xdr:row>
                <xdr:rowOff>279400</xdr:rowOff>
              </to>
            </anchor>
          </controlPr>
        </control>
      </mc:Choice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" id="{28E01F18-8559-41BC-BD1B-B19DDBD138B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I6:I36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7A5C-5947-4202-8AC7-AD1DD62DD899}">
  <sheetPr codeName="Feuil10"/>
  <dimension ref="B1:M40"/>
  <sheetViews>
    <sheetView showGridLines="0" workbookViewId="0">
      <selection activeCell="C3" sqref="C3"/>
    </sheetView>
  </sheetViews>
  <sheetFormatPr baseColWidth="10" defaultRowHeight="14.5" x14ac:dyDescent="0.35"/>
  <cols>
    <col min="2" max="2" width="17.7265625" customWidth="1"/>
    <col min="3" max="3" width="16.6328125" customWidth="1"/>
    <col min="5" max="5" width="14.453125" bestFit="1" customWidth="1"/>
    <col min="7" max="7" width="13.90625" customWidth="1"/>
    <col min="8" max="8" width="14.81640625" bestFit="1" customWidth="1"/>
    <col min="9" max="9" width="13.26953125" customWidth="1"/>
    <col min="10" max="10" width="13.1796875" customWidth="1"/>
  </cols>
  <sheetData>
    <row r="1" spans="2:13" ht="39.5" customHeight="1" x14ac:dyDescent="0.35"/>
    <row r="4" spans="2:13" ht="21.75" customHeight="1" x14ac:dyDescent="0.35"/>
    <row r="5" spans="2:13" x14ac:dyDescent="0.35">
      <c r="B5" t="s">
        <v>32</v>
      </c>
      <c r="C5" t="s">
        <v>33</v>
      </c>
      <c r="D5" t="s">
        <v>34</v>
      </c>
      <c r="E5" t="s">
        <v>20</v>
      </c>
      <c r="F5" t="s">
        <v>35</v>
      </c>
      <c r="G5" t="s">
        <v>36</v>
      </c>
      <c r="H5" t="s">
        <v>37</v>
      </c>
      <c r="I5" t="s">
        <v>13</v>
      </c>
      <c r="J5" t="s">
        <v>163</v>
      </c>
      <c r="K5" t="s">
        <v>162</v>
      </c>
    </row>
    <row r="6" spans="2:13" x14ac:dyDescent="0.35">
      <c r="B6" t="s">
        <v>275</v>
      </c>
      <c r="C6" s="11">
        <v>45331.721400462964</v>
      </c>
      <c r="D6" t="s">
        <v>38</v>
      </c>
      <c r="E6" t="s">
        <v>228</v>
      </c>
      <c r="F6">
        <v>12</v>
      </c>
      <c r="G6" s="20">
        <v>18900</v>
      </c>
      <c r="H6" s="23">
        <f>Tableau25[[#This Row],[Prix]]*Tableau25[[#This Row],[Nombre]]</f>
        <v>226800</v>
      </c>
      <c r="I6" t="s">
        <v>168</v>
      </c>
      <c r="J6" t="str">
        <f t="array" ref="J6">IFERROR(INDEX(Tableau1[Nombre],MATCH(1,(Tableau25[[#This Row],[Nr commande]]=Tableau1[Nr de bon de commande])*(Tableau25[[#This Row],[Nr article]]=Tableau1[Nr article]),0)),"")</f>
        <v/>
      </c>
      <c r="K6" t="str">
        <f>IF(Tableau25[[#This Row],[controle]]=Tableau25[[#This Row],[Nombre]],"close","open")</f>
        <v>open</v>
      </c>
    </row>
    <row r="7" spans="2:13" x14ac:dyDescent="0.35">
      <c r="B7" t="s">
        <v>91</v>
      </c>
      <c r="C7" s="11">
        <v>45332</v>
      </c>
      <c r="D7" t="s">
        <v>39</v>
      </c>
      <c r="E7" t="s">
        <v>229</v>
      </c>
      <c r="F7">
        <v>12</v>
      </c>
      <c r="G7" s="20">
        <v>175300</v>
      </c>
      <c r="H7" s="23">
        <f>Tableau25[[#This Row],[Prix]]*Tableau25[[#This Row],[Nombre]]</f>
        <v>2103600</v>
      </c>
      <c r="I7" t="s">
        <v>167</v>
      </c>
      <c r="J7">
        <f t="array" ref="J7">IFERROR(INDEX(Tableau1[Nombre],MATCH(1,(Tableau25[[#This Row],[Nr commande]]=Tableau1[Nr de bon de commande])*(Tableau25[[#This Row],[Nr article]]=Tableau1[Nr article]),0)),"")</f>
        <v>34</v>
      </c>
      <c r="K7" t="str">
        <f>IF(Tableau25[[#This Row],[controle]]=Tableau25[[#This Row],[Nombre]],"close","open")</f>
        <v>open</v>
      </c>
      <c r="M7" t="s">
        <v>164</v>
      </c>
    </row>
    <row r="8" spans="2:13" x14ac:dyDescent="0.35">
      <c r="B8" t="s">
        <v>100</v>
      </c>
      <c r="C8" s="11">
        <v>45333</v>
      </c>
      <c r="D8" t="s">
        <v>39</v>
      </c>
      <c r="E8" t="s">
        <v>229</v>
      </c>
      <c r="F8">
        <v>12</v>
      </c>
      <c r="G8" s="20">
        <v>175300</v>
      </c>
      <c r="H8" s="23">
        <f>Tableau25[[#This Row],[Prix]]*Tableau25[[#This Row],[Nombre]]</f>
        <v>2103600</v>
      </c>
      <c r="I8" t="s">
        <v>168</v>
      </c>
      <c r="J8" t="str">
        <f t="array" ref="J8">IFERROR(INDEX(Tableau1[Nombre],MATCH(1,(Tableau25[[#This Row],[Nr commande]]=Tableau1[Nr de bon de commande])*(Tableau25[[#This Row],[Nr article]]=Tableau1[Nr article]),0)),"")</f>
        <v/>
      </c>
      <c r="K8" t="str">
        <f>IF(Tableau25[[#This Row],[controle]]=Tableau25[[#This Row],[Nombre]],"close","open")</f>
        <v>open</v>
      </c>
    </row>
    <row r="9" spans="2:13" x14ac:dyDescent="0.35">
      <c r="B9" t="s">
        <v>101</v>
      </c>
      <c r="C9" s="11">
        <v>45331.779178240744</v>
      </c>
      <c r="D9" t="s">
        <v>39</v>
      </c>
      <c r="E9" t="s">
        <v>229</v>
      </c>
      <c r="F9">
        <v>12</v>
      </c>
      <c r="G9" s="20">
        <v>175300</v>
      </c>
      <c r="H9" s="23">
        <f>Tableau25[[#This Row],[Prix]]*Tableau25[[#This Row],[Nombre]]</f>
        <v>2103600</v>
      </c>
      <c r="I9" t="s">
        <v>167</v>
      </c>
      <c r="J9" t="str">
        <f t="array" ref="J9">IFERROR(INDEX(Tableau1[Nombre],MATCH(1,(Tableau25[[#This Row],[Nr commande]]=Tableau1[Nr de bon de commande])*(Tableau25[[#This Row],[Nr article]]=Tableau1[Nr article]),0)),"")</f>
        <v/>
      </c>
      <c r="K9" t="str">
        <f>IF(Tableau25[[#This Row],[controle]]=Tableau25[[#This Row],[Nombre]],"close","open")</f>
        <v>open</v>
      </c>
    </row>
    <row r="10" spans="2:13" x14ac:dyDescent="0.35">
      <c r="B10" t="s">
        <v>108</v>
      </c>
      <c r="C10" s="11">
        <v>45331.804236111115</v>
      </c>
      <c r="D10" t="s">
        <v>45</v>
      </c>
      <c r="E10" t="s">
        <v>235</v>
      </c>
      <c r="F10">
        <v>12</v>
      </c>
      <c r="G10" s="20">
        <v>35000</v>
      </c>
      <c r="H10" s="23">
        <f>Tableau25[[#This Row],[Prix]]*Tableau25[[#This Row],[Nombre]]</f>
        <v>420000</v>
      </c>
      <c r="I10" t="s">
        <v>168</v>
      </c>
      <c r="J10" t="str">
        <f t="array" ref="J10">IFERROR(INDEX(Tableau1[Nombre],MATCH(1,(Tableau25[[#This Row],[Nr commande]]=Tableau1[Nr de bon de commande])*(Tableau25[[#This Row],[Nr article]]=Tableau1[Nr article]),0)),"")</f>
        <v/>
      </c>
      <c r="K10" t="str">
        <f>IF(Tableau25[[#This Row],[controle]]=Tableau25[[#This Row],[Nombre]],"close","open")</f>
        <v>open</v>
      </c>
    </row>
    <row r="11" spans="2:13" x14ac:dyDescent="0.35">
      <c r="B11" t="s">
        <v>276</v>
      </c>
      <c r="C11" s="11">
        <v>45331.84716435185</v>
      </c>
      <c r="D11" t="s">
        <v>40</v>
      </c>
      <c r="E11" t="s">
        <v>230</v>
      </c>
      <c r="F11">
        <v>40</v>
      </c>
      <c r="G11" s="20">
        <v>3900</v>
      </c>
      <c r="H11" s="23">
        <f>Tableau25[[#This Row],[Prix]]*Tableau25[[#This Row],[Nombre]]</f>
        <v>156000</v>
      </c>
      <c r="I11" t="s">
        <v>167</v>
      </c>
      <c r="J11" t="str">
        <f t="array" ref="J11">IFERROR(INDEX(Tableau1[Nombre],MATCH(1,(Tableau25[[#This Row],[Nr commande]]=Tableau1[Nr de bon de commande])*(Tableau25[[#This Row],[Nr article]]=Tableau1[Nr article]),0)),"")</f>
        <v/>
      </c>
      <c r="K11" t="str">
        <f>IF(Tableau25[[#This Row],[controle]]=Tableau25[[#This Row],[Nombre]],"close","open")</f>
        <v>open</v>
      </c>
    </row>
    <row r="12" spans="2:13" x14ac:dyDescent="0.35">
      <c r="B12" t="s">
        <v>278</v>
      </c>
      <c r="C12" s="11">
        <v>45331.903865740744</v>
      </c>
      <c r="D12" t="s">
        <v>41</v>
      </c>
      <c r="E12" t="s">
        <v>231</v>
      </c>
      <c r="F12">
        <v>23</v>
      </c>
      <c r="G12" s="20">
        <v>3900</v>
      </c>
      <c r="H12" s="23">
        <f>Tableau25[[#This Row],[Prix]]*Tableau25[[#This Row],[Nombre]]</f>
        <v>89700</v>
      </c>
      <c r="I12" t="s">
        <v>166</v>
      </c>
      <c r="J12">
        <f t="array" ref="J12">IFERROR(INDEX(Tableau1[Nombre],MATCH(1,(Tableau25[[#This Row],[Nr commande]]=Tableau1[Nr de bon de commande])*(Tableau25[[#This Row],[Nr article]]=Tableau1[Nr article]),0)),"")</f>
        <v>54</v>
      </c>
      <c r="K12" t="str">
        <f>IF(Tableau25[[#This Row],[controle]]=Tableau25[[#This Row],[Nombre]],"close","open")</f>
        <v>open</v>
      </c>
    </row>
    <row r="13" spans="2:13" x14ac:dyDescent="0.35">
      <c r="B13" t="s">
        <v>278</v>
      </c>
      <c r="C13" s="11">
        <v>45331.903865740744</v>
      </c>
      <c r="D13" t="s">
        <v>42</v>
      </c>
      <c r="E13" t="s">
        <v>232</v>
      </c>
      <c r="F13">
        <v>24</v>
      </c>
      <c r="G13" s="20">
        <v>12900</v>
      </c>
      <c r="H13" s="23">
        <f>Tableau25[[#This Row],[Prix]]*Tableau25[[#This Row],[Nombre]]</f>
        <v>309600</v>
      </c>
      <c r="I13" t="s">
        <v>166</v>
      </c>
      <c r="J13" t="str">
        <f t="array" ref="J13">IFERROR(INDEX(Tableau1[Nombre],MATCH(1,(Tableau25[[#This Row],[Nr commande]]=Tableau1[Nr de bon de commande])*(Tableau25[[#This Row],[Nr article]]=Tableau1[Nr article]),0)),"")</f>
        <v/>
      </c>
      <c r="K13" t="str">
        <f>IF(Tableau25[[#This Row],[controle]]=Tableau25[[#This Row],[Nombre]],"close","open")</f>
        <v>open</v>
      </c>
    </row>
    <row r="14" spans="2:13" x14ac:dyDescent="0.35">
      <c r="B14" t="s">
        <v>279</v>
      </c>
      <c r="C14" s="11">
        <v>45331.904467592591</v>
      </c>
      <c r="D14" t="s">
        <v>39</v>
      </c>
      <c r="E14" t="s">
        <v>229</v>
      </c>
      <c r="F14">
        <v>11</v>
      </c>
      <c r="G14" s="20">
        <v>175300</v>
      </c>
      <c r="H14" s="23">
        <f>Tableau25[[#This Row],[Prix]]*Tableau25[[#This Row],[Nombre]]</f>
        <v>1928300</v>
      </c>
      <c r="I14" t="s">
        <v>166</v>
      </c>
      <c r="J14" t="str">
        <f t="array" ref="J14">IFERROR(INDEX(Tableau1[Nombre],MATCH(1,(Tableau25[[#This Row],[Nr commande]]=Tableau1[Nr de bon de commande])*(Tableau25[[#This Row],[Nr article]]=Tableau1[Nr article]),0)),"")</f>
        <v/>
      </c>
      <c r="K14" t="str">
        <f>IF(Tableau25[[#This Row],[controle]]=Tableau25[[#This Row],[Nombre]],"close","open")</f>
        <v>open</v>
      </c>
    </row>
    <row r="15" spans="2:13" x14ac:dyDescent="0.35">
      <c r="B15" t="s">
        <v>280</v>
      </c>
      <c r="C15" s="11">
        <v>45331.908101851855</v>
      </c>
      <c r="D15" t="s">
        <v>40</v>
      </c>
      <c r="E15" t="s">
        <v>230</v>
      </c>
      <c r="F15">
        <v>23</v>
      </c>
      <c r="G15" s="20">
        <v>3900</v>
      </c>
      <c r="H15" s="23">
        <f>Tableau25[[#This Row],[Prix]]*Tableau25[[#This Row],[Nombre]]</f>
        <v>89700</v>
      </c>
      <c r="I15" t="s">
        <v>169</v>
      </c>
      <c r="J15" t="str">
        <f t="array" ref="J15">IFERROR(INDEX(Tableau1[Nombre],MATCH(1,(Tableau25[[#This Row],[Nr commande]]=Tableau1[Nr de bon de commande])*(Tableau25[[#This Row],[Nr article]]=Tableau1[Nr article]),0)),"")</f>
        <v/>
      </c>
      <c r="K15" t="str">
        <f>IF(Tableau25[[#This Row],[controle]]=Tableau25[[#This Row],[Nombre]],"close","open")</f>
        <v>open</v>
      </c>
    </row>
    <row r="16" spans="2:13" x14ac:dyDescent="0.35">
      <c r="B16" t="s">
        <v>282</v>
      </c>
      <c r="C16" s="11">
        <v>45331.934247685182</v>
      </c>
      <c r="D16" t="s">
        <v>41</v>
      </c>
      <c r="E16" t="s">
        <v>231</v>
      </c>
      <c r="F16">
        <v>23</v>
      </c>
      <c r="G16" s="20">
        <v>3900</v>
      </c>
      <c r="H16" s="23">
        <f>Tableau25[[#This Row],[Prix]]*Tableau25[[#This Row],[Nombre]]</f>
        <v>89700</v>
      </c>
      <c r="I16" t="s">
        <v>169</v>
      </c>
      <c r="J16" t="str">
        <f t="array" ref="J16">IFERROR(INDEX(Tableau1[Nombre],MATCH(1,(Tableau25[[#This Row],[Nr commande]]=Tableau1[Nr de bon de commande])*(Tableau25[[#This Row],[Nr article]]=Tableau1[Nr article]),0)),"")</f>
        <v/>
      </c>
      <c r="K16" t="str">
        <f>IF(Tableau25[[#This Row],[controle]]=Tableau25[[#This Row],[Nombre]],"close","open")</f>
        <v>open</v>
      </c>
    </row>
    <row r="17" spans="2:11" x14ac:dyDescent="0.35">
      <c r="B17" t="s">
        <v>269</v>
      </c>
      <c r="C17" s="11">
        <v>45331.954317129632</v>
      </c>
      <c r="D17" t="s">
        <v>41</v>
      </c>
      <c r="E17" t="s">
        <v>231</v>
      </c>
      <c r="F17">
        <v>50</v>
      </c>
      <c r="G17" s="20">
        <v>3900</v>
      </c>
      <c r="H17" s="23">
        <f>Tableau25[[#This Row],[Prix]]*Tableau25[[#This Row],[Nombre]]</f>
        <v>195000</v>
      </c>
      <c r="I17" t="s">
        <v>179</v>
      </c>
      <c r="J17">
        <f t="array" ref="J17">IFERROR(INDEX(Tableau1[Nombre],MATCH(1,(Tableau25[[#This Row],[Nr commande]]=Tableau1[Nr de bon de commande])*(Tableau25[[#This Row],[Nr article]]=Tableau1[Nr article]),0)),"")</f>
        <v>50</v>
      </c>
      <c r="K17" t="str">
        <f>IF(Tableau25[[#This Row],[controle]]=Tableau25[[#This Row],[Nombre]],"close","open")</f>
        <v>close</v>
      </c>
    </row>
    <row r="18" spans="2:11" x14ac:dyDescent="0.35">
      <c r="B18" t="s">
        <v>269</v>
      </c>
      <c r="C18" s="11">
        <v>45331.954317129632</v>
      </c>
      <c r="D18" t="s">
        <v>42</v>
      </c>
      <c r="E18" t="s">
        <v>232</v>
      </c>
      <c r="F18">
        <v>50</v>
      </c>
      <c r="G18" s="20">
        <v>12900</v>
      </c>
      <c r="H18" s="23">
        <f>Tableau25[[#This Row],[Prix]]*Tableau25[[#This Row],[Nombre]]</f>
        <v>645000</v>
      </c>
      <c r="I18" t="s">
        <v>179</v>
      </c>
      <c r="J18">
        <f t="array" ref="J18">IFERROR(INDEX(Tableau1[Nombre],MATCH(1,(Tableau25[[#This Row],[Nr commande]]=Tableau1[Nr de bon de commande])*(Tableau25[[#This Row],[Nr article]]=Tableau1[Nr article]),0)),"")</f>
        <v>50</v>
      </c>
      <c r="K18" t="str">
        <f>IF(Tableau25[[#This Row],[controle]]=Tableau25[[#This Row],[Nombre]],"close","open")</f>
        <v>close</v>
      </c>
    </row>
    <row r="19" spans="2:11" x14ac:dyDescent="0.35">
      <c r="B19" t="s">
        <v>269</v>
      </c>
      <c r="C19" s="11">
        <v>45331.954317129632</v>
      </c>
      <c r="D19" t="s">
        <v>43</v>
      </c>
      <c r="E19" t="s">
        <v>233</v>
      </c>
      <c r="F19">
        <v>50</v>
      </c>
      <c r="G19" s="20">
        <v>129000</v>
      </c>
      <c r="H19" s="23">
        <f>Tableau25[[#This Row],[Prix]]*Tableau25[[#This Row],[Nombre]]</f>
        <v>6450000</v>
      </c>
      <c r="I19" t="s">
        <v>179</v>
      </c>
      <c r="J19">
        <f t="array" ref="J19">IFERROR(INDEX(Tableau1[Nombre],MATCH(1,(Tableau25[[#This Row],[Nr commande]]=Tableau1[Nr de bon de commande])*(Tableau25[[#This Row],[Nr article]]=Tableau1[Nr article]),0)),"")</f>
        <v>50</v>
      </c>
      <c r="K19" t="str">
        <f>IF(Tableau25[[#This Row],[controle]]=Tableau25[[#This Row],[Nombre]],"close","open")</f>
        <v>close</v>
      </c>
    </row>
    <row r="20" spans="2:11" x14ac:dyDescent="0.35">
      <c r="B20" t="s">
        <v>269</v>
      </c>
      <c r="C20" s="11">
        <v>45331.954328703701</v>
      </c>
      <c r="D20" t="s">
        <v>44</v>
      </c>
      <c r="E20" t="s">
        <v>234</v>
      </c>
      <c r="F20">
        <v>50</v>
      </c>
      <c r="G20" s="20">
        <v>45000</v>
      </c>
      <c r="H20" s="23">
        <f>Tableau25[[#This Row],[Prix]]*Tableau25[[#This Row],[Nombre]]</f>
        <v>2250000</v>
      </c>
      <c r="I20" t="s">
        <v>179</v>
      </c>
      <c r="J20">
        <f t="array" ref="J20">IFERROR(INDEX(Tableau1[Nombre],MATCH(1,(Tableau25[[#This Row],[Nr commande]]=Tableau1[Nr de bon de commande])*(Tableau25[[#This Row],[Nr article]]=Tableau1[Nr article]),0)),"")</f>
        <v>50</v>
      </c>
      <c r="K20" t="str">
        <f>IF(Tableau25[[#This Row],[controle]]=Tableau25[[#This Row],[Nombre]],"close","open")</f>
        <v>close</v>
      </c>
    </row>
    <row r="21" spans="2:11" x14ac:dyDescent="0.35">
      <c r="B21" t="s">
        <v>269</v>
      </c>
      <c r="C21" s="11">
        <v>45331.954328703701</v>
      </c>
      <c r="D21" t="s">
        <v>45</v>
      </c>
      <c r="E21" t="s">
        <v>235</v>
      </c>
      <c r="F21">
        <v>50</v>
      </c>
      <c r="G21" s="20">
        <v>35000</v>
      </c>
      <c r="H21" s="23">
        <f>Tableau25[[#This Row],[Prix]]*Tableau25[[#This Row],[Nombre]]</f>
        <v>1750000</v>
      </c>
      <c r="I21" t="s">
        <v>179</v>
      </c>
      <c r="J21">
        <f t="array" ref="J21">IFERROR(INDEX(Tableau1[Nombre],MATCH(1,(Tableau25[[#This Row],[Nr commande]]=Tableau1[Nr de bon de commande])*(Tableau25[[#This Row],[Nr article]]=Tableau1[Nr article]),0)),"")</f>
        <v>50</v>
      </c>
      <c r="K21" t="str">
        <f>IF(Tableau25[[#This Row],[controle]]=Tableau25[[#This Row],[Nombre]],"close","open")</f>
        <v>close</v>
      </c>
    </row>
    <row r="22" spans="2:11" x14ac:dyDescent="0.35">
      <c r="B22" t="s">
        <v>269</v>
      </c>
      <c r="C22" s="11">
        <v>45331.954328703701</v>
      </c>
      <c r="D22" t="s">
        <v>46</v>
      </c>
      <c r="E22" t="s">
        <v>236</v>
      </c>
      <c r="F22">
        <v>50</v>
      </c>
      <c r="G22" s="20">
        <v>32000</v>
      </c>
      <c r="H22" s="23">
        <f>Tableau25[[#This Row],[Prix]]*Tableau25[[#This Row],[Nombre]]</f>
        <v>1600000</v>
      </c>
      <c r="I22" t="s">
        <v>179</v>
      </c>
      <c r="J22">
        <f t="array" ref="J22">IFERROR(INDEX(Tableau1[Nombre],MATCH(1,(Tableau25[[#This Row],[Nr commande]]=Tableau1[Nr de bon de commande])*(Tableau25[[#This Row],[Nr article]]=Tableau1[Nr article]),0)),"")</f>
        <v>75</v>
      </c>
      <c r="K22" t="str">
        <f>IF(Tableau25[[#This Row],[controle]]=Tableau25[[#This Row],[Nombre]],"close","open")</f>
        <v>open</v>
      </c>
    </row>
    <row r="23" spans="2:11" x14ac:dyDescent="0.35">
      <c r="B23" t="s">
        <v>269</v>
      </c>
      <c r="C23" s="11">
        <v>45331.954328703701</v>
      </c>
      <c r="D23" t="s">
        <v>47</v>
      </c>
      <c r="E23" t="s">
        <v>237</v>
      </c>
      <c r="F23">
        <v>50</v>
      </c>
      <c r="G23" s="20">
        <v>11600</v>
      </c>
      <c r="H23" s="23">
        <f>Tableau25[[#This Row],[Prix]]*Tableau25[[#This Row],[Nombre]]</f>
        <v>580000</v>
      </c>
      <c r="I23" t="s">
        <v>179</v>
      </c>
      <c r="J23">
        <f t="array" ref="J23">IFERROR(INDEX(Tableau1[Nombre],MATCH(1,(Tableau25[[#This Row],[Nr commande]]=Tableau1[Nr de bon de commande])*(Tableau25[[#This Row],[Nr article]]=Tableau1[Nr article]),0)),"")</f>
        <v>75</v>
      </c>
      <c r="K23" t="str">
        <f>IF(Tableau25[[#This Row],[controle]]=Tableau25[[#This Row],[Nombre]],"close","open")</f>
        <v>open</v>
      </c>
    </row>
    <row r="24" spans="2:11" x14ac:dyDescent="0.35">
      <c r="B24" t="s">
        <v>269</v>
      </c>
      <c r="C24" s="11">
        <v>45331.954328703701</v>
      </c>
      <c r="D24" t="s">
        <v>48</v>
      </c>
      <c r="E24" t="s">
        <v>238</v>
      </c>
      <c r="F24">
        <v>50</v>
      </c>
      <c r="G24" s="20">
        <v>19000</v>
      </c>
      <c r="H24" s="23">
        <f>Tableau25[[#This Row],[Prix]]*Tableau25[[#This Row],[Nombre]]</f>
        <v>950000</v>
      </c>
      <c r="I24" t="s">
        <v>179</v>
      </c>
      <c r="J24">
        <f t="array" ref="J24">IFERROR(INDEX(Tableau1[Nombre],MATCH(1,(Tableau25[[#This Row],[Nr commande]]=Tableau1[Nr de bon de commande])*(Tableau25[[#This Row],[Nr article]]=Tableau1[Nr article]),0)),"")</f>
        <v>75</v>
      </c>
      <c r="K24" t="str">
        <f>IF(Tableau25[[#This Row],[controle]]=Tableau25[[#This Row],[Nombre]],"close","open")</f>
        <v>open</v>
      </c>
    </row>
    <row r="25" spans="2:11" x14ac:dyDescent="0.35">
      <c r="B25" t="s">
        <v>269</v>
      </c>
      <c r="C25" s="11">
        <v>45331.954328703701</v>
      </c>
      <c r="D25" t="s">
        <v>49</v>
      </c>
      <c r="E25" t="s">
        <v>239</v>
      </c>
      <c r="F25">
        <v>50</v>
      </c>
      <c r="G25" s="20">
        <v>89800</v>
      </c>
      <c r="H25" s="23">
        <f>Tableau25[[#This Row],[Prix]]*Tableau25[[#This Row],[Nombre]]</f>
        <v>4490000</v>
      </c>
      <c r="I25" t="s">
        <v>179</v>
      </c>
      <c r="J25">
        <f t="array" ref="J25">IFERROR(INDEX(Tableau1[Nombre],MATCH(1,(Tableau25[[#This Row],[Nr commande]]=Tableau1[Nr de bon de commande])*(Tableau25[[#This Row],[Nr article]]=Tableau1[Nr article]),0)),"")</f>
        <v>75</v>
      </c>
      <c r="K25" t="str">
        <f>IF(Tableau25[[#This Row],[controle]]=Tableau25[[#This Row],[Nombre]],"close","open")</f>
        <v>open</v>
      </c>
    </row>
    <row r="26" spans="2:11" x14ac:dyDescent="0.35">
      <c r="B26" t="s">
        <v>269</v>
      </c>
      <c r="C26" s="11">
        <v>45331.954328703701</v>
      </c>
      <c r="D26" t="s">
        <v>50</v>
      </c>
      <c r="E26" t="s">
        <v>240</v>
      </c>
      <c r="F26">
        <v>75</v>
      </c>
      <c r="G26" s="20">
        <v>7600</v>
      </c>
      <c r="H26" s="23">
        <f>Tableau25[[#This Row],[Prix]]*Tableau25[[#This Row],[Nombre]]</f>
        <v>570000</v>
      </c>
      <c r="I26" t="s">
        <v>179</v>
      </c>
      <c r="J26">
        <f t="array" ref="J26">IFERROR(INDEX(Tableau1[Nombre],MATCH(1,(Tableau25[[#This Row],[Nr commande]]=Tableau1[Nr de bon de commande])*(Tableau25[[#This Row],[Nr article]]=Tableau1[Nr article]),0)),"")</f>
        <v>75</v>
      </c>
      <c r="K26" t="str">
        <f>IF(Tableau25[[#This Row],[controle]]=Tableau25[[#This Row],[Nombre]],"close","open")</f>
        <v>close</v>
      </c>
    </row>
    <row r="27" spans="2:11" x14ac:dyDescent="0.35">
      <c r="B27" t="s">
        <v>269</v>
      </c>
      <c r="C27" s="11">
        <v>45331.954328703701</v>
      </c>
      <c r="D27" t="s">
        <v>254</v>
      </c>
      <c r="E27" t="s">
        <v>241</v>
      </c>
      <c r="F27">
        <v>75</v>
      </c>
      <c r="G27" s="20">
        <v>12800</v>
      </c>
      <c r="H27" s="23">
        <f>Tableau25[[#This Row],[Prix]]*Tableau25[[#This Row],[Nombre]]</f>
        <v>960000</v>
      </c>
      <c r="I27" t="s">
        <v>179</v>
      </c>
      <c r="J27">
        <f t="array" ref="J27">IFERROR(INDEX(Tableau1[Nombre],MATCH(1,(Tableau25[[#This Row],[Nr commande]]=Tableau1[Nr de bon de commande])*(Tableau25[[#This Row],[Nr article]]=Tableau1[Nr article]),0)),"")</f>
        <v>75</v>
      </c>
      <c r="K27" t="str">
        <f>IF(Tableau25[[#This Row],[controle]]=Tableau25[[#This Row],[Nombre]],"close","open")</f>
        <v>close</v>
      </c>
    </row>
    <row r="28" spans="2:11" x14ac:dyDescent="0.35">
      <c r="B28" t="s">
        <v>270</v>
      </c>
      <c r="C28" s="11">
        <v>45331.956828703704</v>
      </c>
      <c r="D28" t="s">
        <v>255</v>
      </c>
      <c r="E28" t="s">
        <v>242</v>
      </c>
      <c r="F28">
        <v>12</v>
      </c>
      <c r="G28" s="20">
        <v>339000</v>
      </c>
      <c r="H28" s="23">
        <f>Tableau25[[#This Row],[Prix]]*Tableau25[[#This Row],[Nombre]]</f>
        <v>4068000</v>
      </c>
      <c r="I28" t="s">
        <v>168</v>
      </c>
      <c r="J28" t="str">
        <f t="array" ref="J28">IFERROR(INDEX(Tableau1[Nombre],MATCH(1,(Tableau25[[#This Row],[Nr commande]]=Tableau1[Nr de bon de commande])*(Tableau25[[#This Row],[Nr article]]=Tableau1[Nr article]),0)),"")</f>
        <v/>
      </c>
      <c r="K28" t="str">
        <f>IF(Tableau25[[#This Row],[controle]]=Tableau25[[#This Row],[Nombre]],"close","open")</f>
        <v>open</v>
      </c>
    </row>
    <row r="29" spans="2:11" x14ac:dyDescent="0.35">
      <c r="B29" t="s">
        <v>311</v>
      </c>
      <c r="C29" s="11">
        <v>45332.092199074075</v>
      </c>
      <c r="D29" t="s">
        <v>38</v>
      </c>
      <c r="E29" t="s">
        <v>228</v>
      </c>
      <c r="F29">
        <v>10</v>
      </c>
      <c r="G29" s="20">
        <v>18900</v>
      </c>
      <c r="H29" s="23">
        <f>Tableau25[[#This Row],[Prix]]*Tableau25[[#This Row],[Nombre]]</f>
        <v>189000</v>
      </c>
      <c r="I29" t="s">
        <v>167</v>
      </c>
      <c r="J29" t="str">
        <f t="array" ref="J29">IFERROR(INDEX(Tableau1[Nombre],MATCH(1,(Tableau25[[#This Row],[Nr commande]]=Tableau1[Nr de bon de commande])*(Tableau25[[#This Row],[Nr article]]=Tableau1[Nr article]),0)),"")</f>
        <v/>
      </c>
      <c r="K29" t="str">
        <f>IF(Tableau25[[#This Row],[controle]]=Tableau25[[#This Row],[Nombre]],"close","open")</f>
        <v>open</v>
      </c>
    </row>
    <row r="30" spans="2:11" x14ac:dyDescent="0.35">
      <c r="B30" t="s">
        <v>311</v>
      </c>
      <c r="C30" s="11">
        <v>45332.092210648145</v>
      </c>
      <c r="D30" t="s">
        <v>41</v>
      </c>
      <c r="E30" t="s">
        <v>231</v>
      </c>
      <c r="F30">
        <v>6</v>
      </c>
      <c r="G30" s="20">
        <v>3900</v>
      </c>
      <c r="H30" s="23">
        <f>Tableau25[[#This Row],[Prix]]*Tableau25[[#This Row],[Nombre]]</f>
        <v>23400</v>
      </c>
      <c r="I30" t="s">
        <v>167</v>
      </c>
      <c r="J30" t="str">
        <f t="array" ref="J30">IFERROR(INDEX(Tableau1[Nombre],MATCH(1,(Tableau25[[#This Row],[Nr commande]]=Tableau1[Nr de bon de commande])*(Tableau25[[#This Row],[Nr article]]=Tableau1[Nr article]),0)),"")</f>
        <v/>
      </c>
      <c r="K30" t="str">
        <f>IF(Tableau25[[#This Row],[controle]]=Tableau25[[#This Row],[Nombre]],"close","open")</f>
        <v>open</v>
      </c>
    </row>
    <row r="31" spans="2:11" x14ac:dyDescent="0.35">
      <c r="B31" t="s">
        <v>312</v>
      </c>
      <c r="C31" s="11">
        <v>45332.094166666669</v>
      </c>
      <c r="D31" t="s">
        <v>38</v>
      </c>
      <c r="E31" t="s">
        <v>228</v>
      </c>
      <c r="F31">
        <v>10</v>
      </c>
      <c r="G31" s="20">
        <v>18900</v>
      </c>
      <c r="H31" s="23">
        <f>Tableau25[[#This Row],[Prix]]*Tableau25[[#This Row],[Nombre]]</f>
        <v>189000</v>
      </c>
      <c r="I31" t="s">
        <v>169</v>
      </c>
      <c r="J31" t="str">
        <f t="array" ref="J31">IFERROR(INDEX(Tableau1[Nombre],MATCH(1,(Tableau25[[#This Row],[Nr commande]]=Tableau1[Nr de bon de commande])*(Tableau25[[#This Row],[Nr article]]=Tableau1[Nr article]),0)),"")</f>
        <v/>
      </c>
      <c r="K31" t="str">
        <f>IF(Tableau25[[#This Row],[controle]]=Tableau25[[#This Row],[Nombre]],"close","open")</f>
        <v>open</v>
      </c>
    </row>
    <row r="32" spans="2:11" x14ac:dyDescent="0.35">
      <c r="B32" t="s">
        <v>312</v>
      </c>
      <c r="C32" s="11">
        <v>45332.094166666669</v>
      </c>
      <c r="D32" t="s">
        <v>41</v>
      </c>
      <c r="E32" t="s">
        <v>231</v>
      </c>
      <c r="F32">
        <v>15</v>
      </c>
      <c r="G32" s="20">
        <v>3900</v>
      </c>
      <c r="H32" s="23">
        <f>Tableau25[[#This Row],[Prix]]*Tableau25[[#This Row],[Nombre]]</f>
        <v>58500</v>
      </c>
      <c r="I32" t="s">
        <v>169</v>
      </c>
      <c r="J32" t="str">
        <f t="array" ref="J32">IFERROR(INDEX(Tableau1[Nombre],MATCH(1,(Tableau25[[#This Row],[Nr commande]]=Tableau1[Nr de bon de commande])*(Tableau25[[#This Row],[Nr article]]=Tableau1[Nr article]),0)),"")</f>
        <v/>
      </c>
      <c r="K32" t="str">
        <f>IF(Tableau25[[#This Row],[controle]]=Tableau25[[#This Row],[Nombre]],"close","open")</f>
        <v>open</v>
      </c>
    </row>
    <row r="33" spans="2:11" x14ac:dyDescent="0.35">
      <c r="B33" t="s">
        <v>314</v>
      </c>
      <c r="C33" s="11">
        <v>45332.095856481479</v>
      </c>
      <c r="D33" t="s">
        <v>42</v>
      </c>
      <c r="E33" t="s">
        <v>232</v>
      </c>
      <c r="F33">
        <v>6</v>
      </c>
      <c r="G33" s="20">
        <v>12900</v>
      </c>
      <c r="H33" s="23">
        <f>Tableau25[[#This Row],[Prix]]*Tableau25[[#This Row],[Nombre]]</f>
        <v>77400</v>
      </c>
      <c r="I33" t="s">
        <v>168</v>
      </c>
      <c r="J33" t="str">
        <f t="array" ref="J33">IFERROR(INDEX(Tableau1[Nombre],MATCH(1,(Tableau25[[#This Row],[Nr commande]]=Tableau1[Nr de bon de commande])*(Tableau25[[#This Row],[Nr article]]=Tableau1[Nr article]),0)),"")</f>
        <v/>
      </c>
      <c r="K33" t="str">
        <f>IF(Tableau25[[#This Row],[controle]]=Tableau25[[#This Row],[Nombre]],"close","open")</f>
        <v>open</v>
      </c>
    </row>
    <row r="34" spans="2:11" x14ac:dyDescent="0.35">
      <c r="B34" t="s">
        <v>314</v>
      </c>
      <c r="C34" s="11">
        <v>45332.095856481479</v>
      </c>
      <c r="D34" t="s">
        <v>42</v>
      </c>
      <c r="E34" t="s">
        <v>232</v>
      </c>
      <c r="F34">
        <v>14</v>
      </c>
      <c r="G34" s="20">
        <v>12900</v>
      </c>
      <c r="H34" s="23">
        <f>Tableau25[[#This Row],[Prix]]*Tableau25[[#This Row],[Nombre]]</f>
        <v>180600</v>
      </c>
      <c r="I34" t="s">
        <v>168</v>
      </c>
      <c r="J34" t="str">
        <f t="array" ref="J34">IFERROR(INDEX(Tableau1[Nombre],MATCH(1,(Tableau25[[#This Row],[Nr commande]]=Tableau1[Nr de bon de commande])*(Tableau25[[#This Row],[Nr article]]=Tableau1[Nr article]),0)),"")</f>
        <v/>
      </c>
      <c r="K34" t="str">
        <f>IF(Tableau25[[#This Row],[controle]]=Tableau25[[#This Row],[Nombre]],"close","open")</f>
        <v>open</v>
      </c>
    </row>
    <row r="35" spans="2:11" x14ac:dyDescent="0.35">
      <c r="B35" t="s">
        <v>318</v>
      </c>
      <c r="C35" s="11">
        <v>45332.241180555553</v>
      </c>
      <c r="D35" t="s">
        <v>41</v>
      </c>
      <c r="E35" t="s">
        <v>231</v>
      </c>
      <c r="F35">
        <v>32</v>
      </c>
      <c r="G35" s="20">
        <v>3900</v>
      </c>
      <c r="H35" s="23">
        <f>Tableau25[[#This Row],[Prix]]*Tableau25[[#This Row],[Nombre]]</f>
        <v>124800</v>
      </c>
      <c r="I35" t="s">
        <v>169</v>
      </c>
      <c r="J35" t="str">
        <f t="array" ref="J35">IFERROR(INDEX(Tableau1[Nombre],MATCH(1,(Tableau25[[#This Row],[Nr commande]]=Tableau1[Nr de bon de commande])*(Tableau25[[#This Row],[Nr article]]=Tableau1[Nr article]),0)),"")</f>
        <v/>
      </c>
      <c r="K35" t="str">
        <f>IF(Tableau25[[#This Row],[controle]]=Tableau25[[#This Row],[Nombre]],"close","open")</f>
        <v>open</v>
      </c>
    </row>
    <row r="36" spans="2:11" x14ac:dyDescent="0.35">
      <c r="B36" t="s">
        <v>319</v>
      </c>
      <c r="C36" s="11">
        <v>45332.242569444446</v>
      </c>
      <c r="D36" t="s">
        <v>41</v>
      </c>
      <c r="E36" t="s">
        <v>231</v>
      </c>
      <c r="F36">
        <v>21</v>
      </c>
      <c r="G36" s="20">
        <v>3900</v>
      </c>
      <c r="H36" s="23">
        <f>Tableau25[[#This Row],[Prix]]*Tableau25[[#This Row],[Nombre]]</f>
        <v>81900</v>
      </c>
      <c r="I36" t="s">
        <v>170</v>
      </c>
      <c r="J36" t="str">
        <f t="array" ref="J36">IFERROR(INDEX(Tableau1[Nombre],MATCH(1,(Tableau25[[#This Row],[Nr commande]]=Tableau1[Nr de bon de commande])*(Tableau25[[#This Row],[Nr article]]=Tableau1[Nr article]),0)),"")</f>
        <v/>
      </c>
      <c r="K36" t="str">
        <f>IF(Tableau25[[#This Row],[controle]]=Tableau25[[#This Row],[Nombre]],"close","open")</f>
        <v>open</v>
      </c>
    </row>
    <row r="37" spans="2:11" x14ac:dyDescent="0.35">
      <c r="B37" t="s">
        <v>332</v>
      </c>
      <c r="C37" s="11">
        <v>45332.349942129629</v>
      </c>
      <c r="D37" t="s">
        <v>41</v>
      </c>
      <c r="E37" t="s">
        <v>231</v>
      </c>
      <c r="F37">
        <v>23</v>
      </c>
      <c r="G37" s="20">
        <v>3900</v>
      </c>
      <c r="H37" s="23">
        <f>Tableau25[[#This Row],[Prix]]*Tableau25[[#This Row],[Nombre]]</f>
        <v>89700</v>
      </c>
      <c r="I37" t="s">
        <v>169</v>
      </c>
      <c r="J37" t="str">
        <f t="array" ref="J37">IFERROR(INDEX(Tableau1[Nombre],MATCH(1,(Tableau25[[#This Row],[Nr commande]]=Tableau1[Nr de bon de commande])*(Tableau25[[#This Row],[Nr article]]=Tableau1[Nr article]),0)),"")</f>
        <v/>
      </c>
      <c r="K37" t="str">
        <f>IF(Tableau25[[#This Row],[controle]]=Tableau25[[#This Row],[Nombre]],"close","open")</f>
        <v>open</v>
      </c>
    </row>
    <row r="38" spans="2:11" x14ac:dyDescent="0.35">
      <c r="B38" t="s">
        <v>333</v>
      </c>
      <c r="C38" s="11">
        <v>45332.369328703702</v>
      </c>
      <c r="D38" t="s">
        <v>42</v>
      </c>
      <c r="E38" t="s">
        <v>232</v>
      </c>
      <c r="F38">
        <v>12</v>
      </c>
      <c r="G38" s="20">
        <v>12900</v>
      </c>
      <c r="H38" s="23">
        <f>Tableau25[[#This Row],[Prix]]*Tableau25[[#This Row],[Nombre]]</f>
        <v>154800</v>
      </c>
      <c r="I38" t="s">
        <v>167</v>
      </c>
      <c r="J38" t="str">
        <f t="array" ref="J38">IFERROR(INDEX(Tableau1[Nombre],MATCH(1,(Tableau25[[#This Row],[Nr commande]]=Tableau1[Nr de bon de commande])*(Tableau25[[#This Row],[Nr article]]=Tableau1[Nr article]),0)),"")</f>
        <v/>
      </c>
      <c r="K38" t="str">
        <f>IF(Tableau25[[#This Row],[controle]]=Tableau25[[#This Row],[Nombre]],"close","open")</f>
        <v>open</v>
      </c>
    </row>
    <row r="39" spans="2:11" x14ac:dyDescent="0.35">
      <c r="B39" t="s">
        <v>335</v>
      </c>
      <c r="C39" s="11">
        <v>45332.370555555557</v>
      </c>
      <c r="D39" t="s">
        <v>41</v>
      </c>
      <c r="E39" t="s">
        <v>231</v>
      </c>
      <c r="F39">
        <v>14</v>
      </c>
      <c r="G39" s="20">
        <v>3900</v>
      </c>
      <c r="H39" s="23">
        <f>Tableau25[[#This Row],[Prix]]*Tableau25[[#This Row],[Nombre]]</f>
        <v>54600</v>
      </c>
      <c r="I39" t="s">
        <v>169</v>
      </c>
      <c r="J39" t="str">
        <f t="array" ref="J39">IFERROR(INDEX(Tableau1[Nombre],MATCH(1,(Tableau25[[#This Row],[Nr commande]]=Tableau1[Nr de bon de commande])*(Tableau25[[#This Row],[Nr article]]=Tableau1[Nr article]),0)),"")</f>
        <v/>
      </c>
      <c r="K39" t="str">
        <f>IF(Tableau25[[#This Row],[controle]]=Tableau25[[#This Row],[Nombre]],"close","open")</f>
        <v>open</v>
      </c>
    </row>
    <row r="40" spans="2:11" x14ac:dyDescent="0.35">
      <c r="B40" t="s">
        <v>335</v>
      </c>
      <c r="C40" s="11">
        <v>45332.370555555557</v>
      </c>
      <c r="D40" t="s">
        <v>44</v>
      </c>
      <c r="E40" t="s">
        <v>234</v>
      </c>
      <c r="F40">
        <v>17</v>
      </c>
      <c r="G40" s="20">
        <v>45000</v>
      </c>
      <c r="H40" s="23">
        <f>Tableau25[[#This Row],[Prix]]*Tableau25[[#This Row],[Nombre]]</f>
        <v>765000</v>
      </c>
      <c r="I40" t="s">
        <v>169</v>
      </c>
      <c r="J40" t="str">
        <f t="array" ref="J40">IFERROR(INDEX(Tableau1[Nombre],MATCH(1,(Tableau25[[#This Row],[Nr commande]]=Tableau1[Nr de bon de commande])*(Tableau25[[#This Row],[Nr article]]=Tableau1[Nr article]),0)),"")</f>
        <v/>
      </c>
      <c r="K40" t="str">
        <f>IF(Tableau25[[#This Row],[controle]]=Tableau25[[#This Row],[Nombre]],"close","open")</f>
        <v>open</v>
      </c>
    </row>
  </sheetData>
  <conditionalFormatting sqref="B6:K40">
    <cfRule type="expression" dxfId="20" priority="1">
      <formula>$K6 = "close"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uton1_Cliquer">
                <anchor moveWithCells="1" sizeWithCells="1">
                  <from>
                    <xdr:col>1</xdr:col>
                    <xdr:colOff>0</xdr:colOff>
                    <xdr:row>2</xdr:row>
                    <xdr:rowOff>165100</xdr:rowOff>
                  </from>
                  <to>
                    <xdr:col>1</xdr:col>
                    <xdr:colOff>1117600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E0CC5-197B-4FFD-AEBF-62AB9894424A}">
  <sheetPr codeName="Feuil11">
    <pageSetUpPr fitToPage="1"/>
  </sheetPr>
  <dimension ref="B1:H55"/>
  <sheetViews>
    <sheetView workbookViewId="0">
      <selection activeCell="G4" sqref="G4"/>
    </sheetView>
  </sheetViews>
  <sheetFormatPr baseColWidth="10" defaultRowHeight="14.5" x14ac:dyDescent="0.35"/>
  <cols>
    <col min="2" max="2" width="17.7265625" customWidth="1"/>
    <col min="3" max="3" width="13.26953125" customWidth="1"/>
    <col min="4" max="4" width="20.453125" customWidth="1"/>
    <col min="6" max="6" width="17.6328125" customWidth="1"/>
    <col min="7" max="7" width="13.36328125" bestFit="1" customWidth="1"/>
    <col min="9" max="9" width="13.26953125" customWidth="1"/>
    <col min="10" max="10" width="13.1796875" customWidth="1"/>
  </cols>
  <sheetData>
    <row r="1" spans="2:8" ht="40" customHeight="1" x14ac:dyDescent="0.35"/>
    <row r="11" spans="2:8" x14ac:dyDescent="0.35">
      <c r="B11" s="61" t="s">
        <v>92</v>
      </c>
      <c r="C11" s="57" t="s">
        <v>335</v>
      </c>
      <c r="F11" s="57" t="s">
        <v>33</v>
      </c>
      <c r="G11" s="60">
        <f>IFERROR(INDEX(Tableau25[Date],MATCH(feuille_po!$C$11,Tableau25[Nr commande],0)),"")</f>
        <v>45332.370555555557</v>
      </c>
    </row>
    <row r="15" spans="2:8" ht="15" thickBot="1" x14ac:dyDescent="0.4">
      <c r="B15" s="26" t="s">
        <v>313</v>
      </c>
      <c r="C15" s="27"/>
      <c r="F15" s="28" t="s">
        <v>13</v>
      </c>
      <c r="G15" s="28"/>
      <c r="H15" s="28"/>
    </row>
    <row r="16" spans="2:8" ht="15" thickTop="1" x14ac:dyDescent="0.35">
      <c r="B16" s="4" t="str">
        <f>feuille_config!C26</f>
        <v>SIDY TRAORE</v>
      </c>
      <c r="F16" t="str">
        <f>IFERROR(INDEX(Tableau25[Fournisseur],MATCH($C$11,Tableau25[Nr commande],0)),"")</f>
        <v>Le Roi Domestique</v>
      </c>
    </row>
    <row r="17" spans="2:7" x14ac:dyDescent="0.35">
      <c r="B17" s="4" t="str">
        <f>feuille_config!C29</f>
        <v>Ensae</v>
      </c>
      <c r="F17" t="str">
        <f>IFERROR(INDEX(Tableau2[Adresse],MATCH(feuille_po!$F$16,fournisseur2,0)),"")</f>
        <v>Adresse 5</v>
      </c>
    </row>
    <row r="18" spans="2:7" x14ac:dyDescent="0.35">
      <c r="B18" s="4">
        <f>feuille_config!C30</f>
        <v>1000</v>
      </c>
      <c r="F18">
        <f>IFERROR(INDEX(Tableau2[Code postal],MATCH(feuille_po!$F$16,fournisseur2,0)),"")</f>
        <v>1004</v>
      </c>
    </row>
    <row r="19" spans="2:7" x14ac:dyDescent="0.35">
      <c r="B19" s="4" t="str">
        <f>feuille_config!C32</f>
        <v>77 257 29 64</v>
      </c>
      <c r="F19" t="str">
        <f>IFERROR(INDEX(Tableau2[Telephone],MATCH(feuille_po!$F$16,fournisseur2,0)),"")</f>
        <v>81 257 29 64</v>
      </c>
    </row>
    <row r="20" spans="2:7" x14ac:dyDescent="0.35">
      <c r="B20" s="4" t="str">
        <f>feuille_config!C33</f>
        <v>groupe1@gmail.com</v>
      </c>
      <c r="F20" t="str">
        <f>IFERROR(INDEX(Tableau2[Mail],MATCH(feuille_po!$F$16,fournisseur2,0)),"")</f>
        <v>ndiaye1@gmail.com</v>
      </c>
    </row>
    <row r="21" spans="2:7" ht="15" thickBot="1" x14ac:dyDescent="0.4"/>
    <row r="22" spans="2:7" ht="15" thickBot="1" x14ac:dyDescent="0.4">
      <c r="B22" s="32" t="s">
        <v>96</v>
      </c>
      <c r="C22" s="33" t="s">
        <v>19</v>
      </c>
      <c r="D22" s="33" t="s">
        <v>20</v>
      </c>
      <c r="E22" s="33" t="s">
        <v>35</v>
      </c>
      <c r="F22" s="33" t="s">
        <v>22</v>
      </c>
      <c r="G22" s="34" t="s">
        <v>97</v>
      </c>
    </row>
    <row r="23" spans="2:7" ht="15" thickBot="1" x14ac:dyDescent="0.4">
      <c r="B23" s="29">
        <f>IF(C23&lt;&gt;"",ROW()-22,"")</f>
        <v>1</v>
      </c>
      <c r="C23" s="30" t="str">
        <f t="array" ref="C23">IFERROR(INDEX(Tableau25[Nr article],SMALL(IF(Tableau25[Nr commande]=feuille_po!$C$11,ROW(Tableau25[Nr commande])-5),ROW()-22)),"")</f>
        <v>ART-00006</v>
      </c>
      <c r="D23" s="30" t="str">
        <f t="array" ref="D23">IFERROR(INDEX(Tableau25[Nom],SMALL(IF(Tableau25[Nr commande]=feuille_po!$C$11,ROW(Tableau25[Nr commande])-5),ROW()-22)),"")</f>
        <v>Gant de menage </v>
      </c>
      <c r="E23" s="30">
        <f t="array" ref="E23">IFERROR(INDEX(Tableau25[Nombre],SMALL(IF(Tableau25[Nr commande]=feuille_po!$C$11,ROW(Tableau25[Nr commande])-5),ROW()-22)),"")</f>
        <v>14</v>
      </c>
      <c r="F23" s="30">
        <f t="array" ref="F23">IFERROR(INDEX(Tableau25[Prix],SMALL(IF(Tableau25[Nr commande]=feuille_po!$C$11,ROW(Tableau25[Nr commande])-5),ROW()-22)),"")</f>
        <v>3900</v>
      </c>
      <c r="G23" s="31">
        <f>IFERROR(E23*F23,"")</f>
        <v>54600</v>
      </c>
    </row>
    <row r="24" spans="2:7" x14ac:dyDescent="0.35">
      <c r="B24">
        <f t="shared" ref="B24:B42" si="0">IF(C24&lt;&gt;"",ROW()-22,"")</f>
        <v>2</v>
      </c>
      <c r="C24" t="str">
        <f t="array" ref="C24">IFERROR(INDEX(Tableau25[Nr article],SMALL(IF(Tableau25[Nr commande]=feuille_po!$C$11,ROW(Tableau25[Nr commande])-5),ROW()-22)),"")</f>
        <v>ART-00009</v>
      </c>
      <c r="D24" t="str">
        <f t="array" ref="D24">IFERROR(INDEX(Tableau25[Nom],SMALL(IF(Tableau25[Nr commande]=feuille_po!$C$11,ROW(Tableau25[Nr commande])-5),ROW()-22)),"")</f>
        <v>Balai aspirateur </v>
      </c>
      <c r="E24">
        <f t="array" ref="E24">IFERROR(INDEX(Tableau25[Nombre],SMALL(IF(Tableau25[Nr commande]=feuille_po!$C$11,ROW(Tableau25[Nr commande])-5),ROW()-22)),"")</f>
        <v>17</v>
      </c>
      <c r="F24">
        <f t="array" ref="F24">IFERROR(INDEX(Tableau25[Prix],SMALL(IF(Tableau25[Nr commande]=feuille_po!$C$11,ROW(Tableau25[Nr commande])-5),ROW()-22)),"")</f>
        <v>45000</v>
      </c>
      <c r="G24">
        <f t="shared" ref="G24:G42" si="1">IFERROR(E24*F24,"")</f>
        <v>765000</v>
      </c>
    </row>
    <row r="25" spans="2:7" x14ac:dyDescent="0.35">
      <c r="B25" t="str">
        <f t="shared" si="0"/>
        <v/>
      </c>
      <c r="C25" t="str">
        <f t="array" ref="C25">IFERROR(INDEX(Tableau25[Nr article],SMALL(IF(Tableau25[Nr commande]=feuille_po!$C$11,ROW(Tableau25[Nr commande])-5),ROW()-22)),"")</f>
        <v/>
      </c>
      <c r="D25" t="str">
        <f t="array" ref="D25">IFERROR(INDEX(Tableau25[Nom],SMALL(IF(Tableau25[Nr commande]=feuille_po!$C$11,ROW(Tableau25[Nr commande])-5),ROW()-22)),"")</f>
        <v/>
      </c>
      <c r="E25" t="str">
        <f t="array" ref="E25">IFERROR(INDEX(Tableau25[Nombre],SMALL(IF(Tableau25[Nr commande]=feuille_po!$C$11,ROW(Tableau25[Nr commande])-5),ROW()-22)),"")</f>
        <v/>
      </c>
      <c r="F25" t="str">
        <f t="array" ref="F25">IFERROR(INDEX(Tableau25[Prix],SMALL(IF(Tableau25[Nr commande]=feuille_po!$C$11,ROW(Tableau25[Nr commande])-5),ROW()-22)),"")</f>
        <v/>
      </c>
      <c r="G25" t="str">
        <f t="shared" si="1"/>
        <v/>
      </c>
    </row>
    <row r="26" spans="2:7" x14ac:dyDescent="0.35">
      <c r="B26" t="str">
        <f t="shared" si="0"/>
        <v/>
      </c>
      <c r="C26" t="str">
        <f t="array" ref="C26">IFERROR(INDEX(Tableau25[Nr article],SMALL(IF(Tableau25[Nr commande]=feuille_po!$C$11,ROW(Tableau25[Nr commande])-5),ROW()-22)),"")</f>
        <v/>
      </c>
      <c r="D26" t="str">
        <f t="array" ref="D26">IFERROR(INDEX(Tableau25[Nom],SMALL(IF(Tableau25[Nr commande]=feuille_po!$C$11,ROW(Tableau25[Nr commande])-5),ROW()-22)),"")</f>
        <v/>
      </c>
      <c r="E26" t="str">
        <f t="array" ref="E26">IFERROR(INDEX(Tableau25[Nombre],SMALL(IF(Tableau25[Nr commande]=feuille_po!$C$11,ROW(Tableau25[Nr commande])-5),ROW()-22)),"")</f>
        <v/>
      </c>
      <c r="F26" t="str">
        <f t="array" ref="F26">IFERROR(INDEX(Tableau25[Prix],SMALL(IF(Tableau25[Nr commande]=feuille_po!$C$11,ROW(Tableau25[Nr commande])-5),ROW()-22)),"")</f>
        <v/>
      </c>
      <c r="G26" t="str">
        <f t="shared" si="1"/>
        <v/>
      </c>
    </row>
    <row r="27" spans="2:7" x14ac:dyDescent="0.35">
      <c r="B27" t="str">
        <f t="shared" si="0"/>
        <v/>
      </c>
      <c r="C27" t="str">
        <f t="array" ref="C27">IFERROR(INDEX(Tableau25[Nr article],SMALL(IF(Tableau25[Nr commande]=feuille_po!$C$11,ROW(Tableau25[Nr commande])-5),ROW()-22)),"")</f>
        <v/>
      </c>
      <c r="D27" t="str">
        <f t="array" ref="D27">IFERROR(INDEX(Tableau25[Nom],SMALL(IF(Tableau25[Nr commande]=feuille_po!$C$11,ROW(Tableau25[Nr commande])-5),ROW()-22)),"")</f>
        <v/>
      </c>
      <c r="E27" t="str">
        <f t="array" ref="E27">IFERROR(INDEX(Tableau25[Nombre],SMALL(IF(Tableau25[Nr commande]=feuille_po!$C$11,ROW(Tableau25[Nr commande])-5),ROW()-22)),"")</f>
        <v/>
      </c>
      <c r="F27" t="str">
        <f t="array" ref="F27">IFERROR(INDEX(Tableau25[Prix],SMALL(IF(Tableau25[Nr commande]=feuille_po!$C$11,ROW(Tableau25[Nr commande])-5),ROW()-22)),"")</f>
        <v/>
      </c>
      <c r="G27" t="str">
        <f t="shared" si="1"/>
        <v/>
      </c>
    </row>
    <row r="28" spans="2:7" x14ac:dyDescent="0.35">
      <c r="B28" t="str">
        <f t="shared" si="0"/>
        <v/>
      </c>
      <c r="C28" t="str">
        <f t="array" ref="C28">IFERROR(INDEX(Tableau25[Nr article],SMALL(IF(Tableau25[Nr commande]=feuille_po!$C$11,ROW(Tableau25[Nr commande])-5),ROW()-22)),"")</f>
        <v/>
      </c>
      <c r="D28" t="str">
        <f t="array" ref="D28">IFERROR(INDEX(Tableau25[Nom],SMALL(IF(Tableau25[Nr commande]=feuille_po!$C$11,ROW(Tableau25[Nr commande])-5),ROW()-22)),"")</f>
        <v/>
      </c>
      <c r="E28" t="str">
        <f t="array" ref="E28">IFERROR(INDEX(Tableau25[Nombre],SMALL(IF(Tableau25[Nr commande]=feuille_po!$C$11,ROW(Tableau25[Nr commande])-5),ROW()-22)),"")</f>
        <v/>
      </c>
      <c r="F28" t="str">
        <f t="array" ref="F28">IFERROR(INDEX(Tableau25[Prix],SMALL(IF(Tableau25[Nr commande]=feuille_po!$C$11,ROW(Tableau25[Nr commande])-5),ROW()-22)),"")</f>
        <v/>
      </c>
      <c r="G28" t="str">
        <f t="shared" si="1"/>
        <v/>
      </c>
    </row>
    <row r="29" spans="2:7" x14ac:dyDescent="0.35">
      <c r="B29" t="str">
        <f t="shared" si="0"/>
        <v/>
      </c>
      <c r="C29" t="str">
        <f t="array" ref="C29">IFERROR(INDEX(Tableau25[Nr article],SMALL(IF(Tableau25[Nr commande]=feuille_po!$C$11,ROW(Tableau25[Nr commande])-5),ROW()-22)),"")</f>
        <v/>
      </c>
      <c r="D29" t="str">
        <f t="array" ref="D29">IFERROR(INDEX(Tableau25[Nom],SMALL(IF(Tableau25[Nr commande]=feuille_po!$C$11,ROW(Tableau25[Nr commande])-5),ROW()-22)),"")</f>
        <v/>
      </c>
      <c r="E29" t="str">
        <f t="array" ref="E29">IFERROR(INDEX(Tableau25[Nombre],SMALL(IF(Tableau25[Nr commande]=feuille_po!$C$11,ROW(Tableau25[Nr commande])-5),ROW()-22)),"")</f>
        <v/>
      </c>
      <c r="F29" t="str">
        <f t="array" ref="F29">IFERROR(INDEX(Tableau25[Prix],SMALL(IF(Tableau25[Nr commande]=feuille_po!$C$11,ROW(Tableau25[Nr commande])-5),ROW()-22)),"")</f>
        <v/>
      </c>
      <c r="G29" t="str">
        <f t="shared" si="1"/>
        <v/>
      </c>
    </row>
    <row r="30" spans="2:7" x14ac:dyDescent="0.35">
      <c r="B30" t="str">
        <f t="shared" si="0"/>
        <v/>
      </c>
      <c r="C30" t="str">
        <f t="array" ref="C30">IFERROR(INDEX(Tableau25[Nr article],SMALL(IF(Tableau25[Nr commande]=feuille_po!$C$11,ROW(Tableau25[Nr commande])-5),ROW()-22)),"")</f>
        <v/>
      </c>
      <c r="D30" t="str">
        <f t="array" ref="D30">IFERROR(INDEX(Tableau25[Nom],SMALL(IF(Tableau25[Nr commande]=feuille_po!$C$11,ROW(Tableau25[Nr commande])-5),ROW()-22)),"")</f>
        <v/>
      </c>
      <c r="E30" t="str">
        <f t="array" ref="E30">IFERROR(INDEX(Tableau25[Nombre],SMALL(IF(Tableau25[Nr commande]=feuille_po!$C$11,ROW(Tableau25[Nr commande])-5),ROW()-22)),"")</f>
        <v/>
      </c>
      <c r="F30" t="str">
        <f t="array" ref="F30">IFERROR(INDEX(Tableau25[Prix],SMALL(IF(Tableau25[Nr commande]=feuille_po!$C$11,ROW(Tableau25[Nr commande])-5),ROW()-22)),"")</f>
        <v/>
      </c>
      <c r="G30" t="str">
        <f t="shared" si="1"/>
        <v/>
      </c>
    </row>
    <row r="31" spans="2:7" x14ac:dyDescent="0.35">
      <c r="B31" t="str">
        <f t="shared" si="0"/>
        <v/>
      </c>
      <c r="C31" t="str">
        <f t="array" ref="C31">IFERROR(INDEX(Tableau25[Nr article],SMALL(IF(Tableau25[Nr commande]=feuille_po!$C$11,ROW(Tableau25[Nr commande])-5),ROW()-22)),"")</f>
        <v/>
      </c>
      <c r="D31" t="str">
        <f t="array" ref="D31">IFERROR(INDEX(Tableau25[Nom],SMALL(IF(Tableau25[Nr commande]=feuille_po!$C$11,ROW(Tableau25[Nr commande])-5),ROW()-22)),"")</f>
        <v/>
      </c>
      <c r="E31" t="str">
        <f t="array" ref="E31">IFERROR(INDEX(Tableau25[Nombre],SMALL(IF(Tableau25[Nr commande]=feuille_po!$C$11,ROW(Tableau25[Nr commande])-5),ROW()-22)),"")</f>
        <v/>
      </c>
      <c r="F31" t="str">
        <f t="array" ref="F31">IFERROR(INDEX(Tableau25[Prix],SMALL(IF(Tableau25[Nr commande]=feuille_po!$C$11,ROW(Tableau25[Nr commande])-5),ROW()-22)),"")</f>
        <v/>
      </c>
      <c r="G31" t="str">
        <f t="shared" si="1"/>
        <v/>
      </c>
    </row>
    <row r="32" spans="2:7" x14ac:dyDescent="0.35">
      <c r="B32" t="str">
        <f t="shared" si="0"/>
        <v/>
      </c>
      <c r="C32" t="str">
        <f t="array" ref="C32">IFERROR(INDEX(Tableau25[Nr article],SMALL(IF(Tableau25[Nr commande]=feuille_po!$C$11,ROW(Tableau25[Nr commande])-5),ROW()-22)),"")</f>
        <v/>
      </c>
      <c r="D32" t="str">
        <f t="array" ref="D32">IFERROR(INDEX(Tableau25[Nom],SMALL(IF(Tableau25[Nr commande]=feuille_po!$C$11,ROW(Tableau25[Nr commande])-5),ROW()-22)),"")</f>
        <v/>
      </c>
      <c r="E32" t="str">
        <f t="array" ref="E32">IFERROR(INDEX(Tableau25[Nombre],SMALL(IF(Tableau25[Nr commande]=feuille_po!$C$11,ROW(Tableau25[Nr commande])-5),ROW()-22)),"")</f>
        <v/>
      </c>
      <c r="F32" t="str">
        <f t="array" ref="F32">IFERROR(INDEX(Tableau25[Prix],SMALL(IF(Tableau25[Nr commande]=feuille_po!$C$11,ROW(Tableau25[Nr commande])-5),ROW()-22)),"")</f>
        <v/>
      </c>
      <c r="G32" t="str">
        <f t="shared" si="1"/>
        <v/>
      </c>
    </row>
    <row r="33" spans="2:7" x14ac:dyDescent="0.35">
      <c r="B33" t="str">
        <f t="shared" si="0"/>
        <v/>
      </c>
      <c r="C33" t="str">
        <f t="array" ref="C33">IFERROR(INDEX(Tableau25[Nr article],SMALL(IF(Tableau25[Nr commande]=feuille_po!$C$11,ROW(Tableau25[Nr commande])-5),ROW()-22)),"")</f>
        <v/>
      </c>
      <c r="D33" t="str">
        <f t="array" ref="D33">IFERROR(INDEX(Tableau25[Nom],SMALL(IF(Tableau25[Nr commande]=feuille_po!$C$11,ROW(Tableau25[Nr commande])-5),ROW()-22)),"")</f>
        <v/>
      </c>
      <c r="E33" t="str">
        <f t="array" ref="E33">IFERROR(INDEX(Tableau25[Nombre],SMALL(IF(Tableau25[Nr commande]=feuille_po!$C$11,ROW(Tableau25[Nr commande])-5),ROW()-22)),"")</f>
        <v/>
      </c>
      <c r="F33" t="str">
        <f t="array" ref="F33">IFERROR(INDEX(Tableau25[Prix],SMALL(IF(Tableau25[Nr commande]=feuille_po!$C$11,ROW(Tableau25[Nr commande])-5),ROW()-22)),"")</f>
        <v/>
      </c>
      <c r="G33" t="str">
        <f t="shared" si="1"/>
        <v/>
      </c>
    </row>
    <row r="34" spans="2:7" x14ac:dyDescent="0.35">
      <c r="B34" t="str">
        <f t="shared" si="0"/>
        <v/>
      </c>
      <c r="C34" t="str">
        <f t="array" ref="C34">IFERROR(INDEX(Tableau25[Nr article],SMALL(IF(Tableau25[Nr commande]=feuille_po!$C$11,ROW(Tableau25[Nr commande])-5),ROW()-22)),"")</f>
        <v/>
      </c>
      <c r="D34" t="str">
        <f t="array" ref="D34">IFERROR(INDEX(Tableau25[Nom],SMALL(IF(Tableau25[Nr commande]=feuille_po!$C$11,ROW(Tableau25[Nr commande])-5),ROW()-22)),"")</f>
        <v/>
      </c>
      <c r="E34" t="str">
        <f t="array" ref="E34">IFERROR(INDEX(Tableau25[Nombre],SMALL(IF(Tableau25[Nr commande]=feuille_po!$C$11,ROW(Tableau25[Nr commande])-5),ROW()-22)),"")</f>
        <v/>
      </c>
      <c r="F34" t="str">
        <f t="array" ref="F34">IFERROR(INDEX(Tableau25[Prix],SMALL(IF(Tableau25[Nr commande]=feuille_po!$C$11,ROW(Tableau25[Nr commande])-5),ROW()-22)),"")</f>
        <v/>
      </c>
      <c r="G34" t="str">
        <f t="shared" si="1"/>
        <v/>
      </c>
    </row>
    <row r="35" spans="2:7" x14ac:dyDescent="0.35">
      <c r="B35" t="str">
        <f t="shared" si="0"/>
        <v/>
      </c>
      <c r="C35" t="str">
        <f t="array" ref="C35">IFERROR(INDEX(Tableau25[Nr article],SMALL(IF(Tableau25[Nr commande]=feuille_po!$C$11,ROW(Tableau25[Nr commande])-5),ROW()-22)),"")</f>
        <v/>
      </c>
      <c r="D35" t="str">
        <f t="array" ref="D35">IFERROR(INDEX(Tableau25[Nom],SMALL(IF(Tableau25[Nr commande]=feuille_po!$C$11,ROW(Tableau25[Nr commande])-5),ROW()-22)),"")</f>
        <v/>
      </c>
      <c r="E35" t="str">
        <f t="array" ref="E35">IFERROR(INDEX(Tableau25[Nombre],SMALL(IF(Tableau25[Nr commande]=feuille_po!$C$11,ROW(Tableau25[Nr commande])-5),ROW()-22)),"")</f>
        <v/>
      </c>
      <c r="F35" t="str">
        <f t="array" ref="F35">IFERROR(INDEX(Tableau25[Prix],SMALL(IF(Tableau25[Nr commande]=feuille_po!$C$11,ROW(Tableau25[Nr commande])-5),ROW()-22)),"")</f>
        <v/>
      </c>
      <c r="G35" t="str">
        <f t="shared" si="1"/>
        <v/>
      </c>
    </row>
    <row r="36" spans="2:7" x14ac:dyDescent="0.35">
      <c r="B36" t="str">
        <f t="shared" si="0"/>
        <v/>
      </c>
      <c r="C36" t="str">
        <f t="array" ref="C36">IFERROR(INDEX(Tableau25[Nr article],SMALL(IF(Tableau25[Nr commande]=feuille_po!$C$11,ROW(Tableau25[Nr commande])-5),ROW()-22)),"")</f>
        <v/>
      </c>
      <c r="D36" t="str">
        <f t="array" ref="D36">IFERROR(INDEX(Tableau25[Nom],SMALL(IF(Tableau25[Nr commande]=feuille_po!$C$11,ROW(Tableau25[Nr commande])-5),ROW()-22)),"")</f>
        <v/>
      </c>
      <c r="E36" t="str">
        <f t="array" ref="E36">IFERROR(INDEX(Tableau25[Nombre],SMALL(IF(Tableau25[Nr commande]=feuille_po!$C$11,ROW(Tableau25[Nr commande])-5),ROW()-22)),"")</f>
        <v/>
      </c>
      <c r="F36" t="str">
        <f t="array" ref="F36">IFERROR(INDEX(Tableau25[Prix],SMALL(IF(Tableau25[Nr commande]=feuille_po!$C$11,ROW(Tableau25[Nr commande])-5),ROW()-22)),"")</f>
        <v/>
      </c>
      <c r="G36" t="str">
        <f t="shared" si="1"/>
        <v/>
      </c>
    </row>
    <row r="37" spans="2:7" x14ac:dyDescent="0.35">
      <c r="B37" t="str">
        <f t="shared" si="0"/>
        <v/>
      </c>
      <c r="C37" t="str">
        <f t="array" ref="C37">IFERROR(INDEX(Tableau25[Nr article],SMALL(IF(Tableau25[Nr commande]=feuille_po!$C$11,ROW(Tableau25[Nr commande])-5),ROW()-22)),"")</f>
        <v/>
      </c>
      <c r="D37" t="str">
        <f t="array" ref="D37">IFERROR(INDEX(Tableau25[Nom],SMALL(IF(Tableau25[Nr commande]=feuille_po!$C$11,ROW(Tableau25[Nr commande])-5),ROW()-22)),"")</f>
        <v/>
      </c>
      <c r="E37" t="str">
        <f t="array" ref="E37">IFERROR(INDEX(Tableau25[Nombre],SMALL(IF(Tableau25[Nr commande]=feuille_po!$C$11,ROW(Tableau25[Nr commande])-5),ROW()-22)),"")</f>
        <v/>
      </c>
      <c r="F37" t="str">
        <f t="array" ref="F37">IFERROR(INDEX(Tableau25[Prix],SMALL(IF(Tableau25[Nr commande]=feuille_po!$C$11,ROW(Tableau25[Nr commande])-5),ROW()-22)),"")</f>
        <v/>
      </c>
      <c r="G37" t="str">
        <f t="shared" si="1"/>
        <v/>
      </c>
    </row>
    <row r="38" spans="2:7" x14ac:dyDescent="0.35">
      <c r="B38" t="str">
        <f t="shared" si="0"/>
        <v/>
      </c>
      <c r="C38" t="str">
        <f t="array" ref="C38">IFERROR(INDEX(Tableau25[Nr article],SMALL(IF(Tableau25[Nr commande]=feuille_po!$C$11,ROW(Tableau25[Nr commande])-5),ROW()-22)),"")</f>
        <v/>
      </c>
      <c r="D38" t="str">
        <f t="array" ref="D38">IFERROR(INDEX(Tableau25[Nom],SMALL(IF(Tableau25[Nr commande]=feuille_po!$C$11,ROW(Tableau25[Nr commande])-5),ROW()-22)),"")</f>
        <v/>
      </c>
      <c r="E38" t="str">
        <f t="array" ref="E38">IFERROR(INDEX(Tableau25[Nombre],SMALL(IF(Tableau25[Nr commande]=feuille_po!$C$11,ROW(Tableau25[Nr commande])-5),ROW()-22)),"")</f>
        <v/>
      </c>
      <c r="F38" t="str">
        <f t="array" ref="F38">IFERROR(INDEX(Tableau25[Prix],SMALL(IF(Tableau25[Nr commande]=feuille_po!$C$11,ROW(Tableau25[Nr commande])-5),ROW()-22)),"")</f>
        <v/>
      </c>
      <c r="G38" t="str">
        <f t="shared" si="1"/>
        <v/>
      </c>
    </row>
    <row r="39" spans="2:7" x14ac:dyDescent="0.35">
      <c r="B39" t="str">
        <f t="shared" si="0"/>
        <v/>
      </c>
      <c r="C39" t="str">
        <f t="array" ref="C39">IFERROR(INDEX(Tableau25[Nr article],SMALL(IF(Tableau25[Nr commande]=feuille_po!$C$11,ROW(Tableau25[Nr commande])-5),ROW()-22)),"")</f>
        <v/>
      </c>
      <c r="D39" t="str">
        <f t="array" ref="D39">IFERROR(INDEX(Tableau25[Nom],SMALL(IF(Tableau25[Nr commande]=feuille_po!$C$11,ROW(Tableau25[Nr commande])-5),ROW()-22)),"")</f>
        <v/>
      </c>
      <c r="E39" t="str">
        <f t="array" ref="E39">IFERROR(INDEX(Tableau25[Nombre],SMALL(IF(Tableau25[Nr commande]=feuille_po!$C$11,ROW(Tableau25[Nr commande])-5),ROW()-22)),"")</f>
        <v/>
      </c>
      <c r="F39" t="str">
        <f t="array" ref="F39">IFERROR(INDEX(Tableau25[Prix],SMALL(IF(Tableau25[Nr commande]=feuille_po!$C$11,ROW(Tableau25[Nr commande])-5),ROW()-22)),"")</f>
        <v/>
      </c>
      <c r="G39" t="str">
        <f t="shared" si="1"/>
        <v/>
      </c>
    </row>
    <row r="40" spans="2:7" x14ac:dyDescent="0.35">
      <c r="B40" t="str">
        <f t="shared" si="0"/>
        <v/>
      </c>
      <c r="C40" t="str">
        <f t="array" ref="C40">IFERROR(INDEX(Tableau25[Nr article],SMALL(IF(Tableau25[Nr commande]=feuille_po!$C$11,ROW(Tableau25[Nr commande])-5),ROW()-22)),"")</f>
        <v/>
      </c>
      <c r="D40" t="str">
        <f t="array" ref="D40">IFERROR(INDEX(Tableau25[Nom],SMALL(IF(Tableau25[Nr commande]=feuille_po!$C$11,ROW(Tableau25[Nr commande])-5),ROW()-22)),"")</f>
        <v/>
      </c>
      <c r="E40" t="str">
        <f t="array" ref="E40">IFERROR(INDEX(Tableau25[Nombre],SMALL(IF(Tableau25[Nr commande]=feuille_po!$C$11,ROW(Tableau25[Nr commande])-5),ROW()-22)),"")</f>
        <v/>
      </c>
      <c r="F40" t="str">
        <f t="array" ref="F40">IFERROR(INDEX(Tableau25[Prix],SMALL(IF(Tableau25[Nr commande]=feuille_po!$C$11,ROW(Tableau25[Nr commande])-5),ROW()-22)),"")</f>
        <v/>
      </c>
      <c r="G40" t="str">
        <f t="shared" si="1"/>
        <v/>
      </c>
    </row>
    <row r="41" spans="2:7" x14ac:dyDescent="0.35">
      <c r="B41" t="str">
        <f t="shared" si="0"/>
        <v/>
      </c>
      <c r="C41" t="str">
        <f t="array" ref="C41">IFERROR(INDEX(Tableau25[Nr article],SMALL(IF(Tableau25[Nr commande]=feuille_po!$C$11,ROW(Tableau25[Nr commande])-5),ROW()-22)),"")</f>
        <v/>
      </c>
      <c r="D41" t="str">
        <f t="array" ref="D41">IFERROR(INDEX(Tableau25[Nom],SMALL(IF(Tableau25[Nr commande]=feuille_po!$C$11,ROW(Tableau25[Nr commande])-5),ROW()-22)),"")</f>
        <v/>
      </c>
      <c r="E41" t="str">
        <f t="array" ref="E41">IFERROR(INDEX(Tableau25[Nombre],SMALL(IF(Tableau25[Nr commande]=feuille_po!$C$11,ROW(Tableau25[Nr commande])-5),ROW()-22)),"")</f>
        <v/>
      </c>
      <c r="F41" t="str">
        <f t="array" ref="F41">IFERROR(INDEX(Tableau25[Prix],SMALL(IF(Tableau25[Nr commande]=feuille_po!$C$11,ROW(Tableau25[Nr commande])-5),ROW()-22)),"")</f>
        <v/>
      </c>
      <c r="G41" t="str">
        <f t="shared" si="1"/>
        <v/>
      </c>
    </row>
    <row r="42" spans="2:7" ht="15" thickBot="1" x14ac:dyDescent="0.4">
      <c r="B42" t="str">
        <f t="shared" si="0"/>
        <v/>
      </c>
      <c r="C42" t="str">
        <f t="array" ref="C42">IFERROR(INDEX(Tableau25[Nr article],SMALL(IF(Tableau25[Nr commande]=feuille_po!$C$11,ROW(Tableau25[Nr commande])-5),ROW()-22)),"")</f>
        <v/>
      </c>
      <c r="D42" t="str">
        <f t="array" ref="D42">IFERROR(INDEX(Tableau25[Nom],SMALL(IF(Tableau25[Nr commande]=feuille_po!$C$11,ROW(Tableau25[Nr commande])-5),ROW()-22)),"")</f>
        <v/>
      </c>
      <c r="E42" t="str">
        <f t="array" ref="E42">IFERROR(INDEX(Tableau25[Nombre],SMALL(IF(Tableau25[Nr commande]=feuille_po!$C$11,ROW(Tableau25[Nr commande])-5),ROW()-22)),"")</f>
        <v/>
      </c>
      <c r="F42" t="str">
        <f t="array" ref="F42">IFERROR(INDEX(Tableau25[Prix],SMALL(IF(Tableau25[Nr commande]=feuille_po!$C$11,ROW(Tableau25[Nr commande])-5),ROW()-22)),"")</f>
        <v/>
      </c>
      <c r="G42" t="str">
        <f t="shared" si="1"/>
        <v/>
      </c>
    </row>
    <row r="43" spans="2:7" ht="15" thickBot="1" x14ac:dyDescent="0.4">
      <c r="B43" s="38" t="str">
        <f t="shared" ref="B43" si="2">IF(C43&lt;&gt;"",ROW()-22,"")</f>
        <v/>
      </c>
      <c r="C43" s="38" t="str">
        <f t="array" ref="C43">IFERROR(INDEX(Tableau25[Nr article],SMALL(IF(Tableau25[Nr commande]=feuille_po!$C$11,ROW(Tableau25[Nr commande])-5),ROW()-22)),"")</f>
        <v/>
      </c>
      <c r="D43" s="38" t="str">
        <f t="array" ref="D43">IFERROR(INDEX(Tableau25[Nom],SMALL(IF(Tableau25[Nr commande]=feuille_po!$C$11,ROW(Tableau25[Nr commande])-5),ROW()-22)),"")</f>
        <v/>
      </c>
      <c r="E43" s="38"/>
      <c r="F43" s="38"/>
      <c r="G43" s="38"/>
    </row>
    <row r="44" spans="2:7" ht="15.5" thickTop="1" thickBot="1" x14ac:dyDescent="0.4">
      <c r="C44" t="str">
        <f t="array" ref="C44">IFERROR(INDEX(Tableau25[Nr article],SMALL(IF(Tableau25[Nr commande]=feuille_po!$C$11,ROW(Tableau25[Nr commande])-5),ROW()-22)),"")</f>
        <v/>
      </c>
      <c r="D44" t="str">
        <f t="array" ref="D44">IFERROR(INDEX(Tableau25[Nom],SMALL(IF(Tableau25[Nr commande]=feuille_po!$C$11,ROW(Tableau25[Nr commande])-5),ROW()-22)),"")</f>
        <v/>
      </c>
      <c r="F44" s="24" t="s">
        <v>97</v>
      </c>
      <c r="G44" s="58">
        <f>SUM(G23:G42)</f>
        <v>819600</v>
      </c>
    </row>
    <row r="45" spans="2:7" ht="15.5" thickTop="1" thickBot="1" x14ac:dyDescent="0.4">
      <c r="D45" t="str">
        <f t="array" ref="D45">IFERROR(INDEX(Tableau25[Nom],SMALL(IF(Tableau25[Nr commande]=feuille_po!$C$11,ROW(Tableau25[Nr commande])-5),ROW()-22)),"")</f>
        <v/>
      </c>
      <c r="F45" s="24" t="s">
        <v>98</v>
      </c>
      <c r="G45" s="58">
        <f>G44*0.21</f>
        <v>172116</v>
      </c>
    </row>
    <row r="46" spans="2:7" ht="15.5" thickTop="1" thickBot="1" x14ac:dyDescent="0.4">
      <c r="D46" t="str">
        <f t="array" ref="D46">IFERROR(INDEX(Tableau25[Nom],SMALL(IF(Tableau25[Nr commande]=feuille_po!$C$11,ROW(Tableau25[Nr commande])-5),ROW()-22)),"")</f>
        <v/>
      </c>
      <c r="F46" s="25" t="s">
        <v>99</v>
      </c>
      <c r="G46" s="59">
        <f>SUM(G44:G45)</f>
        <v>991716</v>
      </c>
    </row>
    <row r="47" spans="2:7" ht="15" thickTop="1" x14ac:dyDescent="0.35">
      <c r="D47" t="str">
        <f t="array" ref="D47">IFERROR(INDEX(Tableau25[Nom],SMALL(IF(Tableau25[Nr commande]=feuille_po!$C$11,ROW(Tableau25[Nr commande])-5),ROW()-22)),"")</f>
        <v/>
      </c>
    </row>
    <row r="48" spans="2:7" x14ac:dyDescent="0.35">
      <c r="D48" t="str">
        <f t="array" ref="D48">IFERROR(INDEX(Tableau25[Nom],SMALL(IF(Tableau25[Nr commande]=feuille_po!$C$11,ROW(Tableau25[Nr commande])-5),ROW()-22)),"")</f>
        <v/>
      </c>
    </row>
    <row r="49" spans="4:4" x14ac:dyDescent="0.35">
      <c r="D49" t="str">
        <f t="array" ref="D49">IFERROR(INDEX(Tableau25[Nom],SMALL(IF(Tableau25[Nr commande]=feuille_po!$C$11,ROW(Tableau25[Nr commande])-5),ROW()-22)),"")</f>
        <v/>
      </c>
    </row>
    <row r="50" spans="4:4" x14ac:dyDescent="0.35">
      <c r="D50" t="str">
        <f t="array" ref="D50">IFERROR(INDEX(Tableau25[Nom],SMALL(IF(Tableau25[Nr commande]=feuille_po!$C$11,ROW(Tableau25[Nr commande])-5),ROW()-22)),"")</f>
        <v/>
      </c>
    </row>
    <row r="51" spans="4:4" x14ac:dyDescent="0.35">
      <c r="D51" t="str">
        <f t="array" ref="D51">IFERROR(INDEX(Tableau25[Nom],SMALL(IF(Tableau25[Nr commande]=feuille_po!$C$11,ROW(Tableau25[Nr commande])-5),ROW()-22)),"")</f>
        <v/>
      </c>
    </row>
    <row r="52" spans="4:4" x14ac:dyDescent="0.35">
      <c r="D52" t="str">
        <f t="array" ref="D52">IFERROR(INDEX(Tableau25[Nom],SMALL(IF(Tableau25[Nr commande]=feuille_po!$C$11,ROW(Tableau25[Nr commande])-5),ROW()-22)),"")</f>
        <v/>
      </c>
    </row>
    <row r="53" spans="4:4" x14ac:dyDescent="0.35">
      <c r="D53" t="str">
        <f t="array" ref="D53">IFERROR(INDEX(Tableau25[Nom],SMALL(IF(Tableau25[Nr commande]=feuille_po!$C$11,ROW(Tableau25[Nr commande])-5),ROW()-22)),"")</f>
        <v/>
      </c>
    </row>
    <row r="54" spans="4:4" x14ac:dyDescent="0.35">
      <c r="D54" t="str">
        <f t="array" ref="D54">IFERROR(INDEX(Tableau25[Nom],SMALL(IF(Tableau25[Nr commande]=feuille_po!$C$11,ROW(Tableau25[Nr commande])-5),ROW()-22)),"")</f>
        <v/>
      </c>
    </row>
    <row r="55" spans="4:4" x14ac:dyDescent="0.35">
      <c r="D55" t="str">
        <f t="array" ref="D55">IFERROR(INDEX(Tableau25[Nom],SMALL(IF(Tableau25[Nr commande]=feuille_po!$C$11,ROW(Tableau25[Nr commande])-5),ROW()-22)),"")</f>
        <v/>
      </c>
    </row>
  </sheetData>
  <conditionalFormatting sqref="B24:G42">
    <cfRule type="expression" dxfId="16" priority="1">
      <formula>$B24 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6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B0358-B31D-437C-89DE-5ED4C9D4AB5D}">
  <sheetPr codeName="Feuil13"/>
  <dimension ref="B1:M99"/>
  <sheetViews>
    <sheetView showGridLines="0" topLeftCell="B6" zoomScale="90" zoomScaleNormal="90" workbookViewId="0">
      <selection activeCell="D8" sqref="D8"/>
    </sheetView>
  </sheetViews>
  <sheetFormatPr baseColWidth="10" defaultRowHeight="14.5" x14ac:dyDescent="0.35"/>
  <cols>
    <col min="2" max="2" width="13.26953125" customWidth="1"/>
    <col min="3" max="3" width="15" customWidth="1"/>
    <col min="4" max="4" width="21" customWidth="1"/>
    <col min="5" max="5" width="16.36328125" bestFit="1" customWidth="1"/>
    <col min="9" max="10" width="13.26953125" customWidth="1"/>
    <col min="11" max="11" width="15.453125" bestFit="1" customWidth="1"/>
    <col min="12" max="12" width="14.54296875" customWidth="1"/>
    <col min="13" max="13" width="13.90625" customWidth="1"/>
  </cols>
  <sheetData>
    <row r="1" spans="2:13" ht="39" customHeight="1" x14ac:dyDescent="0.35"/>
    <row r="4" spans="2:13" ht="20.25" customHeight="1" x14ac:dyDescent="0.35"/>
    <row r="5" spans="2:13" x14ac:dyDescent="0.35">
      <c r="B5" t="s">
        <v>109</v>
      </c>
      <c r="C5" t="s">
        <v>110</v>
      </c>
      <c r="D5" t="s">
        <v>111</v>
      </c>
      <c r="E5" t="s">
        <v>13</v>
      </c>
      <c r="F5" t="s">
        <v>14</v>
      </c>
      <c r="G5" t="s">
        <v>34</v>
      </c>
      <c r="H5" t="s">
        <v>35</v>
      </c>
      <c r="I5" t="s">
        <v>112</v>
      </c>
      <c r="J5" t="s">
        <v>297</v>
      </c>
      <c r="K5" t="s">
        <v>274</v>
      </c>
      <c r="L5" t="s">
        <v>272</v>
      </c>
      <c r="M5" t="s">
        <v>301</v>
      </c>
    </row>
    <row r="6" spans="2:13" x14ac:dyDescent="0.35">
      <c r="B6" s="4" t="s">
        <v>159</v>
      </c>
      <c r="C6" s="4" t="s">
        <v>273</v>
      </c>
      <c r="D6" s="4" t="s">
        <v>161</v>
      </c>
      <c r="E6" s="4" t="s">
        <v>168</v>
      </c>
      <c r="F6" s="4"/>
      <c r="G6" s="4" t="s">
        <v>259</v>
      </c>
      <c r="H6" s="4">
        <v>23</v>
      </c>
      <c r="I6" s="4" t="str">
        <f>IF(Tableau1[Type]="Sortie",COUNTIFS(Tableau1[Type],"Sortie",Tableau1[Nombre],"&gt;"&amp;Tableau1[[#This Row],[Nombre]])+1,"")</f>
        <v/>
      </c>
      <c r="J6" s="4">
        <f>IF(Tableau1[[#This Row],[Type]]="Entrée",VLOOKUP(Tableau1[[#This Row],[Nr article]],Tableau14[],4,FALSE),"")</f>
        <v>6650</v>
      </c>
      <c r="K6" s="22">
        <v>44935.906736111108</v>
      </c>
      <c r="L6" s="22" t="str">
        <f ca="1">IF(Tableau1[[#This Row],[Type]]= "Sortie",TODAY(),"")</f>
        <v/>
      </c>
      <c r="M6" s="4" t="str">
        <f>IF(Tableau1[[#This Row],[Type]]="Sortie",VLOOKUP(Tableau1[[#This Row],[Nr article]],Tableau14[],4,FALSE),"")</f>
        <v/>
      </c>
    </row>
    <row r="7" spans="2:13" x14ac:dyDescent="0.35">
      <c r="B7" s="4" t="s">
        <v>159</v>
      </c>
      <c r="C7" s="4" t="s">
        <v>281</v>
      </c>
      <c r="D7" s="4" t="s">
        <v>100</v>
      </c>
      <c r="E7" s="4" t="s">
        <v>170</v>
      </c>
      <c r="F7" s="4"/>
      <c r="G7" s="4" t="s">
        <v>267</v>
      </c>
      <c r="H7" s="4">
        <v>26</v>
      </c>
      <c r="I7" s="4" t="str">
        <f>IF(Tableau1[Type]="Sortie",COUNTIFS(Tableau1[Type],"Sortie",Tableau1[Nombre],"&gt;"&amp;Tableau1[[#This Row],[Nombre]])+1,"")</f>
        <v/>
      </c>
      <c r="J7" s="4">
        <f>IF(Tableau1[[#This Row],[Type]]="Entrée",VLOOKUP(Tableau1[[#This Row],[Nr article]],Tableau14[],4,FALSE),"")</f>
        <v>156000</v>
      </c>
      <c r="K7" s="22">
        <v>44936</v>
      </c>
      <c r="L7" s="22" t="str">
        <f ca="1">IF(Tableau1[[#This Row],[Type]]= "Sortie",TODAY(),"")</f>
        <v/>
      </c>
      <c r="M7" s="4" t="str">
        <f>IF(Tableau1[[#This Row],[Type]]="Sortie",VLOOKUP(Tableau1[[#This Row],[Nr article]],Tableau14[],4,FALSE),"")</f>
        <v/>
      </c>
    </row>
    <row r="8" spans="2:13" x14ac:dyDescent="0.35">
      <c r="B8" s="4" t="s">
        <v>159</v>
      </c>
      <c r="C8" s="4" t="s">
        <v>273</v>
      </c>
      <c r="D8" s="4" t="s">
        <v>269</v>
      </c>
      <c r="E8" s="4" t="s">
        <v>170</v>
      </c>
      <c r="F8" s="4"/>
      <c r="G8" s="4" t="s">
        <v>40</v>
      </c>
      <c r="H8" s="4">
        <v>50</v>
      </c>
      <c r="I8" s="4" t="str">
        <f>IF(Tableau1[Type]="Sortie",COUNTIFS(Tableau1[Type],"Sortie",Tableau1[Nombre],"&gt;"&amp;Tableau1[[#This Row],[Nombre]])+1,"")</f>
        <v/>
      </c>
      <c r="J8" s="4">
        <f>IF(Tableau1[[#This Row],[Type]]="Entrée",VLOOKUP(Tableau1[[#This Row],[Nr article]],Tableau14[],4,FALSE),"")</f>
        <v>3900</v>
      </c>
      <c r="K8" s="22">
        <v>44937</v>
      </c>
      <c r="L8" s="22" t="str">
        <f ca="1">IF(Tableau1[[#This Row],[Type]]= "Sortie",TODAY(),"")</f>
        <v/>
      </c>
      <c r="M8" s="4" t="str">
        <f>IF(Tableau1[[#This Row],[Type]]="Sortie",VLOOKUP(Tableau1[[#This Row],[Nr article]],Tableau14[],4,FALSE),"")</f>
        <v/>
      </c>
    </row>
    <row r="9" spans="2:13" x14ac:dyDescent="0.35">
      <c r="B9" s="4" t="s">
        <v>159</v>
      </c>
      <c r="C9" s="4" t="s">
        <v>273</v>
      </c>
      <c r="D9" s="4" t="s">
        <v>269</v>
      </c>
      <c r="E9" s="4" t="s">
        <v>170</v>
      </c>
      <c r="F9" s="4"/>
      <c r="G9" s="4" t="s">
        <v>41</v>
      </c>
      <c r="H9" s="4">
        <v>50</v>
      </c>
      <c r="I9" s="4" t="str">
        <f>IF(Tableau1[Type]="Sortie",COUNTIFS(Tableau1[Type],"Sortie",Tableau1[Nombre],"&gt;"&amp;Tableau1[[#This Row],[Nombre]])+1,"")</f>
        <v/>
      </c>
      <c r="J9" s="4">
        <f>IF(Tableau1[[#This Row],[Type]]="Entrée",VLOOKUP(Tableau1[[#This Row],[Nr article]],Tableau14[],4,FALSE),"")</f>
        <v>3900</v>
      </c>
      <c r="K9" s="22">
        <v>44938</v>
      </c>
      <c r="L9" s="22" t="str">
        <f ca="1">IF(Tableau1[[#This Row],[Type]]= "Sortie",TODAY(),"")</f>
        <v/>
      </c>
      <c r="M9" s="4" t="str">
        <f>IF(Tableau1[[#This Row],[Type]]="Sortie",VLOOKUP(Tableau1[[#This Row],[Nr article]],Tableau14[],4,FALSE),"")</f>
        <v/>
      </c>
    </row>
    <row r="10" spans="2:13" x14ac:dyDescent="0.35">
      <c r="B10" s="4" t="s">
        <v>159</v>
      </c>
      <c r="C10" s="4" t="s">
        <v>273</v>
      </c>
      <c r="D10" s="4" t="s">
        <v>269</v>
      </c>
      <c r="E10" s="4" t="s">
        <v>170</v>
      </c>
      <c r="F10" s="4"/>
      <c r="G10" s="4" t="s">
        <v>42</v>
      </c>
      <c r="H10" s="4">
        <v>50</v>
      </c>
      <c r="I10" s="4" t="str">
        <f>IF(Tableau1[Type]="Sortie",COUNTIFS(Tableau1[Type],"Sortie",Tableau1[Nombre],"&gt;"&amp;Tableau1[[#This Row],[Nombre]])+1,"")</f>
        <v/>
      </c>
      <c r="J10" s="4">
        <f>IF(Tableau1[[#This Row],[Type]]="Entrée",VLOOKUP(Tableau1[[#This Row],[Nr article]],Tableau14[],4,FALSE),"")</f>
        <v>12900</v>
      </c>
      <c r="K10" s="22">
        <v>44939</v>
      </c>
      <c r="L10" s="22" t="str">
        <f ca="1">IF(Tableau1[[#This Row],[Type]]= "Sortie",TODAY(),"")</f>
        <v/>
      </c>
      <c r="M10" s="4" t="str">
        <f>IF(Tableau1[[#This Row],[Type]]="Sortie",VLOOKUP(Tableau1[[#This Row],[Nr article]],Tableau14[],4,FALSE),"")</f>
        <v/>
      </c>
    </row>
    <row r="11" spans="2:13" x14ac:dyDescent="0.35">
      <c r="B11" s="4" t="s">
        <v>159</v>
      </c>
      <c r="C11" s="4" t="s">
        <v>273</v>
      </c>
      <c r="D11" s="4" t="s">
        <v>269</v>
      </c>
      <c r="E11" s="4" t="s">
        <v>170</v>
      </c>
      <c r="F11" s="4"/>
      <c r="G11" s="4" t="s">
        <v>43</v>
      </c>
      <c r="H11" s="4">
        <v>50</v>
      </c>
      <c r="I11" s="4" t="str">
        <f>IF(Tableau1[Type]="Sortie",COUNTIFS(Tableau1[Type],"Sortie",Tableau1[Nombre],"&gt;"&amp;Tableau1[[#This Row],[Nombre]])+1,"")</f>
        <v/>
      </c>
      <c r="J11" s="4">
        <f>IF(Tableau1[[#This Row],[Type]]="Entrée",VLOOKUP(Tableau1[[#This Row],[Nr article]],Tableau14[],4,FALSE),"")</f>
        <v>129000</v>
      </c>
      <c r="K11" s="22">
        <v>44966.961006944446</v>
      </c>
      <c r="L11" s="22" t="str">
        <f ca="1">IF(Tableau1[[#This Row],[Type]]= "Sortie",TODAY(),"")</f>
        <v/>
      </c>
      <c r="M11" s="4" t="str">
        <f>IF(Tableau1[[#This Row],[Type]]="Sortie",VLOOKUP(Tableau1[[#This Row],[Nr article]],Tableau14[],4,FALSE),"")</f>
        <v/>
      </c>
    </row>
    <row r="12" spans="2:13" x14ac:dyDescent="0.35">
      <c r="B12" s="4" t="s">
        <v>159</v>
      </c>
      <c r="C12" s="4" t="s">
        <v>273</v>
      </c>
      <c r="D12" s="4" t="s">
        <v>269</v>
      </c>
      <c r="E12" s="4" t="s">
        <v>170</v>
      </c>
      <c r="F12" s="4"/>
      <c r="G12" s="4" t="s">
        <v>44</v>
      </c>
      <c r="H12" s="4">
        <v>50</v>
      </c>
      <c r="I12" s="4" t="str">
        <f>IF(Tableau1[Type]="Sortie",COUNTIFS(Tableau1[Type],"Sortie",Tableau1[Nombre],"&gt;"&amp;Tableau1[[#This Row],[Nombre]])+1,"")</f>
        <v/>
      </c>
      <c r="J12" s="4">
        <f>IF(Tableau1[[#This Row],[Type]]="Entrée",VLOOKUP(Tableau1[[#This Row],[Nr article]],Tableau14[],4,FALSE),"")</f>
        <v>45000</v>
      </c>
      <c r="K12" s="22">
        <v>44967</v>
      </c>
      <c r="L12" s="22" t="str">
        <f ca="1">IF(Tableau1[[#This Row],[Type]]= "Sortie",TODAY(),"")</f>
        <v/>
      </c>
      <c r="M12" s="4" t="str">
        <f>IF(Tableau1[[#This Row],[Type]]="Sortie",VLOOKUP(Tableau1[[#This Row],[Nr article]],Tableau14[],4,FALSE),"")</f>
        <v/>
      </c>
    </row>
    <row r="13" spans="2:13" x14ac:dyDescent="0.35">
      <c r="B13" s="4" t="s">
        <v>159</v>
      </c>
      <c r="C13" s="4" t="s">
        <v>273</v>
      </c>
      <c r="D13" s="4" t="s">
        <v>269</v>
      </c>
      <c r="E13" s="4" t="s">
        <v>170</v>
      </c>
      <c r="F13" s="4"/>
      <c r="G13" s="4" t="s">
        <v>45</v>
      </c>
      <c r="H13" s="4">
        <v>50</v>
      </c>
      <c r="I13" s="4" t="str">
        <f>IF(Tableau1[Type]="Sortie",COUNTIFS(Tableau1[Type],"Sortie",Tableau1[Nombre],"&gt;"&amp;Tableau1[[#This Row],[Nombre]])+1,"")</f>
        <v/>
      </c>
      <c r="J13" s="4">
        <f>IF(Tableau1[[#This Row],[Type]]="Entrée",VLOOKUP(Tableau1[[#This Row],[Nr article]],Tableau14[],4,FALSE),"")</f>
        <v>35000</v>
      </c>
      <c r="K13" s="22">
        <v>44968</v>
      </c>
      <c r="L13" s="22" t="str">
        <f ca="1">IF(Tableau1[[#This Row],[Type]]= "Sortie",TODAY(),"")</f>
        <v/>
      </c>
      <c r="M13" s="4" t="str">
        <f>IF(Tableau1[[#This Row],[Type]]="Sortie",VLOOKUP(Tableau1[[#This Row],[Nr article]],Tableau14[],4,FALSE),"")</f>
        <v/>
      </c>
    </row>
    <row r="14" spans="2:13" x14ac:dyDescent="0.35">
      <c r="B14" s="4" t="s">
        <v>159</v>
      </c>
      <c r="C14" s="4" t="s">
        <v>273</v>
      </c>
      <c r="D14" s="4" t="s">
        <v>269</v>
      </c>
      <c r="E14" s="4" t="s">
        <v>170</v>
      </c>
      <c r="F14" s="4"/>
      <c r="G14" s="4" t="s">
        <v>46</v>
      </c>
      <c r="H14" s="4">
        <v>75</v>
      </c>
      <c r="I14" s="4" t="str">
        <f>IF(Tableau1[Type]="Sortie",COUNTIFS(Tableau1[Type],"Sortie",Tableau1[Nombre],"&gt;"&amp;Tableau1[[#This Row],[Nombre]])+1,"")</f>
        <v/>
      </c>
      <c r="J14" s="4">
        <f>IF(Tableau1[[#This Row],[Type]]="Entrée",VLOOKUP(Tableau1[[#This Row],[Nr article]],Tableau14[],4,FALSE),"")</f>
        <v>32000</v>
      </c>
      <c r="K14" s="22">
        <v>44969</v>
      </c>
      <c r="L14" s="22" t="str">
        <f ca="1">IF(Tableau1[[#This Row],[Type]]= "Sortie",TODAY(),"")</f>
        <v/>
      </c>
      <c r="M14" s="4" t="str">
        <f>IF(Tableau1[[#This Row],[Type]]="Sortie",VLOOKUP(Tableau1[[#This Row],[Nr article]],Tableau14[],4,FALSE),"")</f>
        <v/>
      </c>
    </row>
    <row r="15" spans="2:13" x14ac:dyDescent="0.35">
      <c r="B15" s="4" t="s">
        <v>159</v>
      </c>
      <c r="C15" s="4" t="s">
        <v>273</v>
      </c>
      <c r="D15" s="4" t="s">
        <v>269</v>
      </c>
      <c r="E15" s="4" t="s">
        <v>170</v>
      </c>
      <c r="F15" s="4"/>
      <c r="G15" s="4" t="s">
        <v>47</v>
      </c>
      <c r="H15" s="4">
        <v>75</v>
      </c>
      <c r="I15" s="4" t="str">
        <f>IF(Tableau1[Type]="Sortie",COUNTIFS(Tableau1[Type],"Sortie",Tableau1[Nombre],"&gt;"&amp;Tableau1[[#This Row],[Nombre]])+1,"")</f>
        <v/>
      </c>
      <c r="J15" s="4">
        <f>IF(Tableau1[[#This Row],[Type]]="Entrée",VLOOKUP(Tableau1[[#This Row],[Nr article]],Tableau14[],4,FALSE),"")</f>
        <v>11600</v>
      </c>
      <c r="K15" s="22">
        <v>44970</v>
      </c>
      <c r="L15" s="22" t="str">
        <f ca="1">IF(Tableau1[[#This Row],[Type]]= "Sortie",TODAY(),"")</f>
        <v/>
      </c>
      <c r="M15" s="4" t="str">
        <f>IF(Tableau1[[#This Row],[Type]]="Sortie",VLOOKUP(Tableau1[[#This Row],[Nr article]],Tableau14[],4,FALSE),"")</f>
        <v/>
      </c>
    </row>
    <row r="16" spans="2:13" x14ac:dyDescent="0.35">
      <c r="B16" s="4" t="s">
        <v>159</v>
      </c>
      <c r="C16" s="4" t="s">
        <v>273</v>
      </c>
      <c r="D16" s="4" t="s">
        <v>269</v>
      </c>
      <c r="E16" s="4" t="s">
        <v>170</v>
      </c>
      <c r="F16" s="4"/>
      <c r="G16" s="4" t="s">
        <v>48</v>
      </c>
      <c r="H16" s="4">
        <v>75</v>
      </c>
      <c r="I16" s="4" t="str">
        <f>IF(Tableau1[Type]="Sortie",COUNTIFS(Tableau1[Type],"Sortie",Tableau1[Nombre],"&gt;"&amp;Tableau1[[#This Row],[Nombre]])+1,"")</f>
        <v/>
      </c>
      <c r="J16" s="4">
        <f>IF(Tableau1[[#This Row],[Type]]="Entrée",VLOOKUP(Tableau1[[#This Row],[Nr article]],Tableau14[],4,FALSE),"")</f>
        <v>19000</v>
      </c>
      <c r="K16" s="22">
        <v>44971</v>
      </c>
      <c r="L16" s="22" t="str">
        <f ca="1">IF(Tableau1[[#This Row],[Type]]= "Sortie",TODAY(),"")</f>
        <v/>
      </c>
      <c r="M16" s="4" t="str">
        <f>IF(Tableau1[[#This Row],[Type]]="Sortie",VLOOKUP(Tableau1[[#This Row],[Nr article]],Tableau14[],4,FALSE),"")</f>
        <v/>
      </c>
    </row>
    <row r="17" spans="2:13" x14ac:dyDescent="0.35">
      <c r="B17" s="4" t="s">
        <v>159</v>
      </c>
      <c r="C17" s="4" t="s">
        <v>273</v>
      </c>
      <c r="D17" s="4" t="s">
        <v>269</v>
      </c>
      <c r="E17" s="4" t="s">
        <v>170</v>
      </c>
      <c r="F17" s="4"/>
      <c r="G17" s="4" t="s">
        <v>49</v>
      </c>
      <c r="H17" s="4">
        <v>75</v>
      </c>
      <c r="I17" s="4" t="str">
        <f>IF(Tableau1[Type]="Sortie",COUNTIFS(Tableau1[Type],"Sortie",Tableau1[Nombre],"&gt;"&amp;Tableau1[[#This Row],[Nombre]])+1,"")</f>
        <v/>
      </c>
      <c r="J17" s="4">
        <f>IF(Tableau1[[#This Row],[Type]]="Entrée",VLOOKUP(Tableau1[[#This Row],[Nr article]],Tableau14[],4,FALSE),"")</f>
        <v>89800</v>
      </c>
      <c r="K17" s="22">
        <v>44994.961018518516</v>
      </c>
      <c r="L17" s="22" t="str">
        <f ca="1">IF(Tableau1[[#This Row],[Type]]= "Sortie",TODAY(),"")</f>
        <v/>
      </c>
      <c r="M17" s="4" t="str">
        <f>IF(Tableau1[[#This Row],[Type]]="Sortie",VLOOKUP(Tableau1[[#This Row],[Nr article]],Tableau14[],4,FALSE),"")</f>
        <v/>
      </c>
    </row>
    <row r="18" spans="2:13" x14ac:dyDescent="0.35">
      <c r="B18" s="4" t="s">
        <v>159</v>
      </c>
      <c r="C18" s="4" t="s">
        <v>273</v>
      </c>
      <c r="D18" s="4" t="s">
        <v>269</v>
      </c>
      <c r="E18" s="4" t="s">
        <v>170</v>
      </c>
      <c r="F18" s="4"/>
      <c r="G18" s="4" t="s">
        <v>50</v>
      </c>
      <c r="H18" s="4">
        <v>75</v>
      </c>
      <c r="I18" s="4" t="str">
        <f>IF(Tableau1[Type]="Sortie",COUNTIFS(Tableau1[Type],"Sortie",Tableau1[Nombre],"&gt;"&amp;Tableau1[[#This Row],[Nombre]])+1,"")</f>
        <v/>
      </c>
      <c r="J18" s="4">
        <f>IF(Tableau1[[#This Row],[Type]]="Entrée",VLOOKUP(Tableau1[[#This Row],[Nr article]],Tableau14[],4,FALSE),"")</f>
        <v>7600</v>
      </c>
      <c r="K18" s="22">
        <v>44995</v>
      </c>
      <c r="L18" s="22" t="str">
        <f ca="1">IF(Tableau1[[#This Row],[Type]]= "Sortie",TODAY(),"")</f>
        <v/>
      </c>
      <c r="M18" s="4" t="str">
        <f>IF(Tableau1[[#This Row],[Type]]="Sortie",VLOOKUP(Tableau1[[#This Row],[Nr article]],Tableau14[],4,FALSE),"")</f>
        <v/>
      </c>
    </row>
    <row r="19" spans="2:13" x14ac:dyDescent="0.35">
      <c r="B19" s="4" t="s">
        <v>159</v>
      </c>
      <c r="C19" s="4" t="s">
        <v>283</v>
      </c>
      <c r="D19" s="4" t="s">
        <v>269</v>
      </c>
      <c r="E19" s="4" t="s">
        <v>172</v>
      </c>
      <c r="F19" s="4"/>
      <c r="G19" s="4" t="s">
        <v>254</v>
      </c>
      <c r="H19" s="4">
        <v>75</v>
      </c>
      <c r="I19" s="4" t="str">
        <f>IF(Tableau1[Type]="Sortie",COUNTIFS(Tableau1[Type],"Sortie",Tableau1[Nombre],"&gt;"&amp;Tableau1[[#This Row],[Nombre]])+1,"")</f>
        <v/>
      </c>
      <c r="J19" s="4">
        <f>IF(Tableau1[[#This Row],[Type]]="Entrée",VLOOKUP(Tableau1[[#This Row],[Nr article]],Tableau14[],4,FALSE),"")</f>
        <v>12800</v>
      </c>
      <c r="K19" s="22">
        <v>44996</v>
      </c>
      <c r="L19" s="22" t="str">
        <f ca="1">IF(Tableau1[[#This Row],[Type]]= "Sortie",TODAY(),"")</f>
        <v/>
      </c>
      <c r="M19" s="4" t="str">
        <f>IF(Tableau1[[#This Row],[Type]]="Sortie",VLOOKUP(Tableau1[[#This Row],[Nr article]],Tableau14[],4,FALSE),"")</f>
        <v/>
      </c>
    </row>
    <row r="20" spans="2:13" x14ac:dyDescent="0.35">
      <c r="B20" s="4" t="s">
        <v>159</v>
      </c>
      <c r="C20" s="4" t="s">
        <v>283</v>
      </c>
      <c r="D20" s="4" t="s">
        <v>269</v>
      </c>
      <c r="E20" s="4" t="s">
        <v>172</v>
      </c>
      <c r="F20" s="4"/>
      <c r="G20" s="4" t="s">
        <v>255</v>
      </c>
      <c r="H20" s="4">
        <v>75</v>
      </c>
      <c r="I20" s="4" t="str">
        <f>IF(Tableau1[Type]="Sortie",COUNTIFS(Tableau1[Type],"Sortie",Tableau1[Nombre],"&gt;"&amp;Tableau1[[#This Row],[Nombre]])+1,"")</f>
        <v/>
      </c>
      <c r="J20" s="4">
        <f>IF(Tableau1[[#This Row],[Type]]="Entrée",VLOOKUP(Tableau1[[#This Row],[Nr article]],Tableau14[],4,FALSE),"")</f>
        <v>339000</v>
      </c>
      <c r="K20" s="22">
        <v>44997</v>
      </c>
      <c r="L20" s="22" t="str">
        <f ca="1">IF(Tableau1[[#This Row],[Type]]= "Sortie",TODAY(),"")</f>
        <v/>
      </c>
      <c r="M20" s="4" t="str">
        <f>IF(Tableau1[[#This Row],[Type]]="Sortie",VLOOKUP(Tableau1[[#This Row],[Nr article]],Tableau14[],4,FALSE),"")</f>
        <v/>
      </c>
    </row>
    <row r="21" spans="2:13" x14ac:dyDescent="0.35">
      <c r="B21" s="4" t="s">
        <v>159</v>
      </c>
      <c r="C21" s="4" t="s">
        <v>283</v>
      </c>
      <c r="D21" s="4" t="s">
        <v>269</v>
      </c>
      <c r="E21" s="4" t="s">
        <v>172</v>
      </c>
      <c r="F21" s="4"/>
      <c r="G21" s="4" t="s">
        <v>256</v>
      </c>
      <c r="H21" s="4">
        <v>75</v>
      </c>
      <c r="I21" s="4" t="str">
        <f>IF(Tableau1[Type]="Sortie",COUNTIFS(Tableau1[Type],"Sortie",Tableau1[Nombre],"&gt;"&amp;Tableau1[[#This Row],[Nombre]])+1,"")</f>
        <v/>
      </c>
      <c r="J21" s="4">
        <f>IF(Tableau1[[#This Row],[Type]]="Entrée",VLOOKUP(Tableau1[[#This Row],[Nr article]],Tableau14[],4,FALSE),"")</f>
        <v>127000</v>
      </c>
      <c r="K21" s="22">
        <v>44998</v>
      </c>
      <c r="L21" s="22" t="str">
        <f ca="1">IF(Tableau1[[#This Row],[Type]]= "Sortie",TODAY(),"")</f>
        <v/>
      </c>
      <c r="M21" s="4" t="str">
        <f>IF(Tableau1[[#This Row],[Type]]="Sortie",VLOOKUP(Tableau1[[#This Row],[Nr article]],Tableau14[],4,FALSE),"")</f>
        <v/>
      </c>
    </row>
    <row r="22" spans="2:13" x14ac:dyDescent="0.35">
      <c r="B22" s="4" t="s">
        <v>159</v>
      </c>
      <c r="C22" s="4" t="s">
        <v>283</v>
      </c>
      <c r="D22" s="4" t="s">
        <v>269</v>
      </c>
      <c r="E22" s="4" t="s">
        <v>172</v>
      </c>
      <c r="F22" s="4"/>
      <c r="G22" s="4" t="s">
        <v>257</v>
      </c>
      <c r="H22" s="4">
        <v>75</v>
      </c>
      <c r="I22" s="4" t="str">
        <f>IF(Tableau1[Type]="Sortie",COUNTIFS(Tableau1[Type],"Sortie",Tableau1[Nombre],"&gt;"&amp;Tableau1[[#This Row],[Nombre]])+1,"")</f>
        <v/>
      </c>
      <c r="J22" s="4">
        <f>IF(Tableau1[[#This Row],[Type]]="Entrée",VLOOKUP(Tableau1[[#This Row],[Nr article]],Tableau14[],4,FALSE),"")</f>
        <v>61700</v>
      </c>
      <c r="K22" s="22">
        <v>45025.964467592596</v>
      </c>
      <c r="L22" s="22" t="str">
        <f ca="1">IF(Tableau1[[#This Row],[Type]]= "Sortie",TODAY(),"")</f>
        <v/>
      </c>
      <c r="M22" s="4" t="str">
        <f>IF(Tableau1[[#This Row],[Type]]="Sortie",VLOOKUP(Tableau1[[#This Row],[Nr article]],Tableau14[],4,FALSE),"")</f>
        <v/>
      </c>
    </row>
    <row r="23" spans="2:13" x14ac:dyDescent="0.35">
      <c r="B23" s="4" t="s">
        <v>159</v>
      </c>
      <c r="C23" s="4" t="s">
        <v>283</v>
      </c>
      <c r="D23" s="4" t="s">
        <v>269</v>
      </c>
      <c r="E23" s="4" t="s">
        <v>172</v>
      </c>
      <c r="F23" s="4"/>
      <c r="G23" s="4" t="s">
        <v>258</v>
      </c>
      <c r="H23" s="4">
        <v>75</v>
      </c>
      <c r="I23" s="4" t="str">
        <f>IF(Tableau1[Type]="Sortie",COUNTIFS(Tableau1[Type],"Sortie",Tableau1[Nombre],"&gt;"&amp;Tableau1[[#This Row],[Nombre]])+1,"")</f>
        <v/>
      </c>
      <c r="J23" s="4">
        <f>IF(Tableau1[[#This Row],[Type]]="Entrée",VLOOKUP(Tableau1[[#This Row],[Nr article]],Tableau14[],4,FALSE),"")</f>
        <v>4900</v>
      </c>
      <c r="K23" s="22">
        <v>45026</v>
      </c>
      <c r="L23" s="22" t="str">
        <f ca="1">IF(Tableau1[[#This Row],[Type]]= "Sortie",TODAY(),"")</f>
        <v/>
      </c>
      <c r="M23" s="4" t="str">
        <f>IF(Tableau1[[#This Row],[Type]]="Sortie",VLOOKUP(Tableau1[[#This Row],[Nr article]],Tableau14[],4,FALSE),"")</f>
        <v/>
      </c>
    </row>
    <row r="24" spans="2:13" x14ac:dyDescent="0.35">
      <c r="B24" s="4" t="s">
        <v>159</v>
      </c>
      <c r="C24" s="4" t="s">
        <v>283</v>
      </c>
      <c r="D24" s="4" t="s">
        <v>269</v>
      </c>
      <c r="E24" s="4" t="s">
        <v>172</v>
      </c>
      <c r="F24" s="4"/>
      <c r="G24" s="4" t="s">
        <v>259</v>
      </c>
      <c r="H24" s="4">
        <v>13</v>
      </c>
      <c r="I24" s="4" t="str">
        <f>IF(Tableau1[Type]="Sortie",COUNTIFS(Tableau1[Type],"Sortie",Tableau1[Nombre],"&gt;"&amp;Tableau1[[#This Row],[Nombre]])+1,"")</f>
        <v/>
      </c>
      <c r="J24" s="4">
        <f>IF(Tableau1[[#This Row],[Type]]="Entrée",VLOOKUP(Tableau1[[#This Row],[Nr article]],Tableau14[],4,FALSE),"")</f>
        <v>6650</v>
      </c>
      <c r="K24" s="22">
        <v>45027</v>
      </c>
      <c r="L24" s="22" t="str">
        <f ca="1">IF(Tableau1[[#This Row],[Type]]= "Sortie",TODAY(),"")</f>
        <v/>
      </c>
      <c r="M24" s="4" t="str">
        <f>IF(Tableau1[[#This Row],[Type]]="Sortie",VLOOKUP(Tableau1[[#This Row],[Nr article]],Tableau14[],4,FALSE),"")</f>
        <v/>
      </c>
    </row>
    <row r="25" spans="2:13" x14ac:dyDescent="0.35">
      <c r="B25" s="4" t="s">
        <v>159</v>
      </c>
      <c r="C25" s="4" t="s">
        <v>283</v>
      </c>
      <c r="D25" s="4" t="s">
        <v>269</v>
      </c>
      <c r="E25" s="4" t="s">
        <v>172</v>
      </c>
      <c r="F25" s="4"/>
      <c r="G25" s="4" t="s">
        <v>260</v>
      </c>
      <c r="H25" s="4">
        <v>75</v>
      </c>
      <c r="I25" s="4" t="str">
        <f>IF(Tableau1[Type]="Sortie",COUNTIFS(Tableau1[Type],"Sortie",Tableau1[Nombre],"&gt;"&amp;Tableau1[[#This Row],[Nombre]])+1,"")</f>
        <v/>
      </c>
      <c r="J25" s="4">
        <f>IF(Tableau1[[#This Row],[Type]]="Entrée",VLOOKUP(Tableau1[[#This Row],[Nr article]],Tableau14[],4,FALSE),"")</f>
        <v>72900</v>
      </c>
      <c r="K25" s="22">
        <v>45028</v>
      </c>
      <c r="L25" s="22" t="str">
        <f ca="1">IF(Tableau1[[#This Row],[Type]]= "Sortie",TODAY(),"")</f>
        <v/>
      </c>
      <c r="M25" s="4" t="str">
        <f>IF(Tableau1[[#This Row],[Type]]="Sortie",VLOOKUP(Tableau1[[#This Row],[Nr article]],Tableau14[],4,FALSE),"")</f>
        <v/>
      </c>
    </row>
    <row r="26" spans="2:13" x14ac:dyDescent="0.35">
      <c r="B26" s="4" t="s">
        <v>159</v>
      </c>
      <c r="C26" s="4" t="s">
        <v>283</v>
      </c>
      <c r="D26" s="4" t="s">
        <v>269</v>
      </c>
      <c r="E26" s="4" t="s">
        <v>172</v>
      </c>
      <c r="F26" s="4"/>
      <c r="G26" s="4" t="s">
        <v>261</v>
      </c>
      <c r="H26" s="4">
        <v>75</v>
      </c>
      <c r="I26" s="4" t="str">
        <f>IF(Tableau1[Type]="Sortie",COUNTIFS(Tableau1[Type],"Sortie",Tableau1[Nombre],"&gt;"&amp;Tableau1[[#This Row],[Nombre]])+1,"")</f>
        <v/>
      </c>
      <c r="J26" s="4">
        <f>IF(Tableau1[[#This Row],[Type]]="Entrée",VLOOKUP(Tableau1[[#This Row],[Nr article]],Tableau14[],4,FALSE),"")</f>
        <v>4200</v>
      </c>
      <c r="K26" s="22">
        <v>45029</v>
      </c>
      <c r="L26" s="22" t="str">
        <f ca="1">IF(Tableau1[[#This Row],[Type]]= "Sortie",TODAY(),"")</f>
        <v/>
      </c>
      <c r="M26" s="4" t="str">
        <f>IF(Tableau1[[#This Row],[Type]]="Sortie",VLOOKUP(Tableau1[[#This Row],[Nr article]],Tableau14[],4,FALSE),"")</f>
        <v/>
      </c>
    </row>
    <row r="27" spans="2:13" x14ac:dyDescent="0.35">
      <c r="B27" s="4" t="s">
        <v>159</v>
      </c>
      <c r="C27" s="4" t="s">
        <v>283</v>
      </c>
      <c r="D27" s="4" t="s">
        <v>269</v>
      </c>
      <c r="E27" s="4" t="s">
        <v>172</v>
      </c>
      <c r="F27" s="4"/>
      <c r="G27" s="4" t="s">
        <v>262</v>
      </c>
      <c r="H27" s="4">
        <v>75</v>
      </c>
      <c r="I27" s="4" t="str">
        <f>IF(Tableau1[Type]="Sortie",COUNTIFS(Tableau1[Type],"Sortie",Tableau1[Nombre],"&gt;"&amp;Tableau1[[#This Row],[Nombre]])+1,"")</f>
        <v/>
      </c>
      <c r="J27" s="4">
        <f>IF(Tableau1[[#This Row],[Type]]="Entrée",VLOOKUP(Tableau1[[#This Row],[Nr article]],Tableau14[],4,FALSE),"")</f>
        <v>56000</v>
      </c>
      <c r="K27" s="22">
        <v>45055.964467592596</v>
      </c>
      <c r="L27" s="22" t="str">
        <f ca="1">IF(Tableau1[[#This Row],[Type]]= "Sortie",TODAY(),"")</f>
        <v/>
      </c>
      <c r="M27" s="4" t="str">
        <f>IF(Tableau1[[#This Row],[Type]]="Sortie",VLOOKUP(Tableau1[[#This Row],[Nr article]],Tableau14[],4,FALSE),"")</f>
        <v/>
      </c>
    </row>
    <row r="28" spans="2:13" x14ac:dyDescent="0.35">
      <c r="B28" s="4" t="s">
        <v>159</v>
      </c>
      <c r="C28" s="4" t="s">
        <v>283</v>
      </c>
      <c r="D28" s="4" t="s">
        <v>269</v>
      </c>
      <c r="E28" s="4" t="s">
        <v>172</v>
      </c>
      <c r="F28" s="4"/>
      <c r="G28" s="4" t="s">
        <v>263</v>
      </c>
      <c r="H28" s="4">
        <v>75</v>
      </c>
      <c r="I28" s="4" t="str">
        <f>IF(Tableau1[Type]="Sortie",COUNTIFS(Tableau1[Type],"Sortie",Tableau1[Nombre],"&gt;"&amp;Tableau1[[#This Row],[Nombre]])+1,"")</f>
        <v/>
      </c>
      <c r="J28" s="4">
        <f>IF(Tableau1[[#This Row],[Type]]="Entrée",VLOOKUP(Tableau1[[#This Row],[Nr article]],Tableau14[],4,FALSE),"")</f>
        <v>14700</v>
      </c>
      <c r="K28" s="22">
        <v>45056</v>
      </c>
      <c r="L28" s="22" t="str">
        <f ca="1">IF(Tableau1[[#This Row],[Type]]= "Sortie",TODAY(),"")</f>
        <v/>
      </c>
      <c r="M28" s="4" t="str">
        <f>IF(Tableau1[[#This Row],[Type]]="Sortie",VLOOKUP(Tableau1[[#This Row],[Nr article]],Tableau14[],4,FALSE),"")</f>
        <v/>
      </c>
    </row>
    <row r="29" spans="2:13" x14ac:dyDescent="0.35">
      <c r="B29" s="4" t="s">
        <v>159</v>
      </c>
      <c r="C29" s="4" t="s">
        <v>283</v>
      </c>
      <c r="D29" s="4" t="s">
        <v>269</v>
      </c>
      <c r="E29" s="4" t="s">
        <v>172</v>
      </c>
      <c r="F29" s="4"/>
      <c r="G29" s="4" t="s">
        <v>264</v>
      </c>
      <c r="H29" s="4">
        <v>75</v>
      </c>
      <c r="I29" s="4" t="str">
        <f>IF(Tableau1[Type]="Sortie",COUNTIFS(Tableau1[Type],"Sortie",Tableau1[Nombre],"&gt;"&amp;Tableau1[[#This Row],[Nombre]])+1,"")</f>
        <v/>
      </c>
      <c r="J29" s="4">
        <f>IF(Tableau1[[#This Row],[Type]]="Entrée",VLOOKUP(Tableau1[[#This Row],[Nr article]],Tableau14[],4,FALSE),"")</f>
        <v>145000</v>
      </c>
      <c r="K29" s="22">
        <v>45057</v>
      </c>
      <c r="L29" s="22" t="str">
        <f ca="1">IF(Tableau1[[#This Row],[Type]]= "Sortie",TODAY(),"")</f>
        <v/>
      </c>
      <c r="M29" s="4" t="str">
        <f>IF(Tableau1[[#This Row],[Type]]="Sortie",VLOOKUP(Tableau1[[#This Row],[Nr article]],Tableau14[],4,FALSE),"")</f>
        <v/>
      </c>
    </row>
    <row r="30" spans="2:13" x14ac:dyDescent="0.35">
      <c r="B30" s="4" t="s">
        <v>159</v>
      </c>
      <c r="C30" s="4" t="s">
        <v>283</v>
      </c>
      <c r="D30" s="4" t="s">
        <v>269</v>
      </c>
      <c r="E30" s="4" t="s">
        <v>172</v>
      </c>
      <c r="F30" s="4"/>
      <c r="G30" s="4" t="s">
        <v>266</v>
      </c>
      <c r="H30" s="4">
        <v>75</v>
      </c>
      <c r="I30" s="4" t="str">
        <f>IF(Tableau1[Type]="Sortie",COUNTIFS(Tableau1[Type],"Sortie",Tableau1[Nombre],"&gt;"&amp;Tableau1[[#This Row],[Nombre]])+1,"")</f>
        <v/>
      </c>
      <c r="J30" s="4">
        <f>IF(Tableau1[[#This Row],[Type]]="Entrée",VLOOKUP(Tableau1[[#This Row],[Nr article]],Tableau14[],4,FALSE),"")</f>
        <v>7900</v>
      </c>
      <c r="K30" s="22">
        <v>45058</v>
      </c>
      <c r="L30" s="22" t="str">
        <f ca="1">IF(Tableau1[[#This Row],[Type]]= "Sortie",TODAY(),"")</f>
        <v/>
      </c>
      <c r="M30" s="4" t="str">
        <f>IF(Tableau1[[#This Row],[Type]]="Sortie",VLOOKUP(Tableau1[[#This Row],[Nr article]],Tableau14[],4,FALSE),"")</f>
        <v/>
      </c>
    </row>
    <row r="31" spans="2:13" x14ac:dyDescent="0.35">
      <c r="B31" s="4" t="s">
        <v>159</v>
      </c>
      <c r="C31" s="4" t="s">
        <v>283</v>
      </c>
      <c r="D31" s="4" t="s">
        <v>269</v>
      </c>
      <c r="E31" s="4" t="s">
        <v>172</v>
      </c>
      <c r="F31" s="4"/>
      <c r="G31" s="4" t="s">
        <v>267</v>
      </c>
      <c r="H31" s="4">
        <v>75</v>
      </c>
      <c r="I31" s="4" t="str">
        <f>IF(Tableau1[Type]="Sortie",COUNTIFS(Tableau1[Type],"Sortie",Tableau1[Nombre],"&gt;"&amp;Tableau1[[#This Row],[Nombre]])+1,"")</f>
        <v/>
      </c>
      <c r="J31" s="4">
        <f>IF(Tableau1[[#This Row],[Type]]="Entrée",VLOOKUP(Tableau1[[#This Row],[Nr article]],Tableau14[],4,FALSE),"")</f>
        <v>156000</v>
      </c>
      <c r="K31" s="22">
        <v>45059</v>
      </c>
      <c r="L31" s="22" t="str">
        <f ca="1">IF(Tableau1[[#This Row],[Type]]= "Sortie",TODAY(),"")</f>
        <v/>
      </c>
      <c r="M31" s="4" t="str">
        <f>IF(Tableau1[[#This Row],[Type]]="Sortie",VLOOKUP(Tableau1[[#This Row],[Nr article]],Tableau14[],4,FALSE),"")</f>
        <v/>
      </c>
    </row>
    <row r="32" spans="2:13" x14ac:dyDescent="0.35">
      <c r="B32" s="4" t="s">
        <v>159</v>
      </c>
      <c r="C32" s="4" t="s">
        <v>271</v>
      </c>
      <c r="D32" s="4" t="s">
        <v>108</v>
      </c>
      <c r="E32" s="4" t="s">
        <v>169</v>
      </c>
      <c r="F32" s="4"/>
      <c r="G32" s="4" t="s">
        <v>267</v>
      </c>
      <c r="H32" s="4">
        <v>50</v>
      </c>
      <c r="I32" s="4" t="str">
        <f>IF(Tableau1[Type]="Sortie",COUNTIFS(Tableau1[Type],"Sortie",Tableau1[Nombre],"&gt;"&amp;Tableau1[[#This Row],[Nombre]])+1,"")</f>
        <v/>
      </c>
      <c r="J32" s="4">
        <f>IF(Tableau1[[#This Row],[Type]]="Entrée",VLOOKUP(Tableau1[[#This Row],[Nr article]],Tableau14[],4,FALSE),"")</f>
        <v>156000</v>
      </c>
      <c r="K32" s="22">
        <v>45060</v>
      </c>
      <c r="L32" s="22" t="str">
        <f ca="1">IF(Tableau1[[#This Row],[Type]]= "Sortie",TODAY(),"")</f>
        <v/>
      </c>
      <c r="M32" s="4" t="str">
        <f>IF(Tableau1[[#This Row],[Type]]="Sortie",VLOOKUP(Tableau1[[#This Row],[Nr article]],Tableau14[],4,FALSE),"")</f>
        <v/>
      </c>
    </row>
    <row r="33" spans="2:13" x14ac:dyDescent="0.35">
      <c r="B33" s="4" t="s">
        <v>159</v>
      </c>
      <c r="C33" s="4" t="s">
        <v>271</v>
      </c>
      <c r="D33" s="4" t="s">
        <v>108</v>
      </c>
      <c r="E33" s="4" t="s">
        <v>169</v>
      </c>
      <c r="F33" s="4"/>
      <c r="G33" s="4" t="s">
        <v>42</v>
      </c>
      <c r="H33" s="4">
        <v>75</v>
      </c>
      <c r="I33" s="4" t="str">
        <f>IF(Tableau1[Type]="Sortie",COUNTIFS(Tableau1[Type],"Sortie",Tableau1[Nombre],"&gt;"&amp;Tableau1[[#This Row],[Nombre]])+1,"")</f>
        <v/>
      </c>
      <c r="J33" s="4">
        <f>IF(Tableau1[[#This Row],[Type]]="Entrée",VLOOKUP(Tableau1[[#This Row],[Nr article]],Tableau14[],4,FALSE),"")</f>
        <v>12900</v>
      </c>
      <c r="K33" s="22">
        <v>45452.969189814816</v>
      </c>
      <c r="L33" s="22" t="str">
        <f ca="1">IF(Tableau1[[#This Row],[Type]]= "Sortie",TODAY(),"")</f>
        <v/>
      </c>
      <c r="M33" s="4" t="str">
        <f>IF(Tableau1[[#This Row],[Type]]="Sortie",VLOOKUP(Tableau1[[#This Row],[Nr article]],Tableau14[],4,FALSE),"")</f>
        <v/>
      </c>
    </row>
    <row r="34" spans="2:13" x14ac:dyDescent="0.35">
      <c r="B34" s="4" t="s">
        <v>159</v>
      </c>
      <c r="C34" s="4" t="s">
        <v>271</v>
      </c>
      <c r="D34" s="4" t="s">
        <v>108</v>
      </c>
      <c r="E34" s="4" t="s">
        <v>169</v>
      </c>
      <c r="F34" s="4"/>
      <c r="G34" s="4" t="s">
        <v>50</v>
      </c>
      <c r="H34" s="4">
        <v>35</v>
      </c>
      <c r="I34" s="4" t="str">
        <f>IF(Tableau1[Type]="Sortie",COUNTIFS(Tableau1[Type],"Sortie",Tableau1[Nombre],"&gt;"&amp;Tableau1[[#This Row],[Nombre]])+1,"")</f>
        <v/>
      </c>
      <c r="J34" s="4">
        <f>IF(Tableau1[[#This Row],[Type]]="Entrée",VLOOKUP(Tableau1[[#This Row],[Nr article]],Tableau14[],4,FALSE),"")</f>
        <v>7600</v>
      </c>
      <c r="K34" s="22">
        <v>45453</v>
      </c>
      <c r="L34" s="22" t="str">
        <f ca="1">IF(Tableau1[[#This Row],[Type]]= "Sortie",TODAY(),"")</f>
        <v/>
      </c>
      <c r="M34" s="4" t="str">
        <f>IF(Tableau1[[#This Row],[Type]]="Sortie",VLOOKUP(Tableau1[[#This Row],[Nr article]],Tableau14[],4,FALSE),"")</f>
        <v/>
      </c>
    </row>
    <row r="35" spans="2:13" x14ac:dyDescent="0.35">
      <c r="B35" s="4" t="s">
        <v>159</v>
      </c>
      <c r="C35" s="4" t="s">
        <v>271</v>
      </c>
      <c r="D35" s="4" t="s">
        <v>108</v>
      </c>
      <c r="E35" s="4" t="s">
        <v>169</v>
      </c>
      <c r="F35" s="4"/>
      <c r="G35" s="4" t="s">
        <v>41</v>
      </c>
      <c r="H35" s="4">
        <v>54</v>
      </c>
      <c r="I35" s="4" t="str">
        <f>IF(Tableau1[Type]="Sortie",COUNTIFS(Tableau1[Type],"Sortie",Tableau1[Nombre],"&gt;"&amp;Tableau1[[#This Row],[Nombre]])+1,"")</f>
        <v/>
      </c>
      <c r="J35" s="4">
        <f>IF(Tableau1[[#This Row],[Type]]="Entrée",VLOOKUP(Tableau1[[#This Row],[Nr article]],Tableau14[],4,FALSE),"")</f>
        <v>3900</v>
      </c>
      <c r="K35" s="22">
        <v>45454</v>
      </c>
      <c r="L35" s="22" t="str">
        <f ca="1">IF(Tableau1[[#This Row],[Type]]= "Sortie",TODAY(),"")</f>
        <v/>
      </c>
      <c r="M35" s="4" t="str">
        <f>IF(Tableau1[[#This Row],[Type]]="Sortie",VLOOKUP(Tableau1[[#This Row],[Nr article]],Tableau14[],4,FALSE),"")</f>
        <v/>
      </c>
    </row>
    <row r="36" spans="2:13" x14ac:dyDescent="0.35">
      <c r="B36" s="4" t="s">
        <v>159</v>
      </c>
      <c r="C36" s="4" t="s">
        <v>271</v>
      </c>
      <c r="D36" s="4" t="s">
        <v>108</v>
      </c>
      <c r="E36" s="4" t="s">
        <v>169</v>
      </c>
      <c r="F36" s="4"/>
      <c r="G36" s="4" t="s">
        <v>38</v>
      </c>
      <c r="H36" s="4">
        <v>32</v>
      </c>
      <c r="I36" s="4" t="str">
        <f>IF(Tableau1[Type]="Sortie",COUNTIFS(Tableau1[Type],"Sortie",Tableau1[Nombre],"&gt;"&amp;Tableau1[[#This Row],[Nombre]])+1,"")</f>
        <v/>
      </c>
      <c r="J36" s="4">
        <f>IF(Tableau1[[#This Row],[Type]]="Entrée",VLOOKUP(Tableau1[[#This Row],[Nr article]],Tableau14[],4,FALSE),"")</f>
        <v>18900</v>
      </c>
      <c r="K36" s="22">
        <v>45455</v>
      </c>
      <c r="L36" s="22" t="str">
        <f ca="1">IF(Tableau1[[#This Row],[Type]]= "Sortie",TODAY(),"")</f>
        <v/>
      </c>
      <c r="M36" s="4" t="str">
        <f>IF(Tableau1[[#This Row],[Type]]="Sortie",VLOOKUP(Tableau1[[#This Row],[Nr article]],Tableau14[],4,FALSE),"")</f>
        <v/>
      </c>
    </row>
    <row r="37" spans="2:13" x14ac:dyDescent="0.35">
      <c r="B37" s="4" t="s">
        <v>159</v>
      </c>
      <c r="C37" s="4" t="s">
        <v>271</v>
      </c>
      <c r="D37" s="4" t="s">
        <v>108</v>
      </c>
      <c r="E37" s="4" t="s">
        <v>169</v>
      </c>
      <c r="F37" s="4"/>
      <c r="G37" s="4" t="s">
        <v>261</v>
      </c>
      <c r="H37" s="4">
        <v>75</v>
      </c>
      <c r="I37" s="4" t="str">
        <f>IF(Tableau1[Type]="Sortie",COUNTIFS(Tableau1[Type],"Sortie",Tableau1[Nombre],"&gt;"&amp;Tableau1[[#This Row],[Nombre]])+1,"")</f>
        <v/>
      </c>
      <c r="J37" s="4">
        <f>IF(Tableau1[[#This Row],[Type]]="Entrée",VLOOKUP(Tableau1[[#This Row],[Nr article]],Tableau14[],4,FALSE),"")</f>
        <v>4200</v>
      </c>
      <c r="K37" s="22">
        <v>45482.969201388885</v>
      </c>
      <c r="L37" s="22" t="str">
        <f ca="1">IF(Tableau1[[#This Row],[Type]]= "Sortie",TODAY(),"")</f>
        <v/>
      </c>
      <c r="M37" s="4" t="str">
        <f>IF(Tableau1[[#This Row],[Type]]="Sortie",VLOOKUP(Tableau1[[#This Row],[Nr article]],Tableau14[],4,FALSE),"")</f>
        <v/>
      </c>
    </row>
    <row r="38" spans="2:13" x14ac:dyDescent="0.35">
      <c r="B38" s="4" t="s">
        <v>159</v>
      </c>
      <c r="C38" s="4" t="s">
        <v>271</v>
      </c>
      <c r="D38" s="4" t="s">
        <v>108</v>
      </c>
      <c r="E38" s="4" t="s">
        <v>169</v>
      </c>
      <c r="F38" s="4"/>
      <c r="G38" s="4" t="s">
        <v>267</v>
      </c>
      <c r="H38" s="4">
        <v>75</v>
      </c>
      <c r="I38" s="4" t="str">
        <f>IF(Tableau1[Type]="Sortie",COUNTIFS(Tableau1[Type],"Sortie",Tableau1[Nombre],"&gt;"&amp;Tableau1[[#This Row],[Nombre]])+1,"")</f>
        <v/>
      </c>
      <c r="J38" s="4">
        <f>IF(Tableau1[[#This Row],[Type]]="Entrée",VLOOKUP(Tableau1[[#This Row],[Nr article]],Tableau14[],4,FALSE),"")</f>
        <v>156000</v>
      </c>
      <c r="K38" s="22">
        <v>45483</v>
      </c>
      <c r="L38" s="22" t="str">
        <f ca="1">IF(Tableau1[[#This Row],[Type]]= "Sortie",TODAY(),"")</f>
        <v/>
      </c>
      <c r="M38" s="4" t="str">
        <f>IF(Tableau1[[#This Row],[Type]]="Sortie",VLOOKUP(Tableau1[[#This Row],[Nr article]],Tableau14[],4,FALSE),"")</f>
        <v/>
      </c>
    </row>
    <row r="39" spans="2:13" x14ac:dyDescent="0.35">
      <c r="B39" s="4" t="s">
        <v>159</v>
      </c>
      <c r="C39" s="4" t="s">
        <v>271</v>
      </c>
      <c r="D39" s="4" t="s">
        <v>108</v>
      </c>
      <c r="E39" s="4" t="s">
        <v>169</v>
      </c>
      <c r="F39" s="4"/>
      <c r="G39" s="4" t="s">
        <v>42</v>
      </c>
      <c r="H39" s="4">
        <v>44</v>
      </c>
      <c r="I39" s="4" t="str">
        <f>IF(Tableau1[Type]="Sortie",COUNTIFS(Tableau1[Type],"Sortie",Tableau1[Nombre],"&gt;"&amp;Tableau1[[#This Row],[Nombre]])+1,"")</f>
        <v/>
      </c>
      <c r="J39" s="4">
        <f>IF(Tableau1[[#This Row],[Type]]="Entrée",VLOOKUP(Tableau1[[#This Row],[Nr article]],Tableau14[],4,FALSE),"")</f>
        <v>12900</v>
      </c>
      <c r="K39" s="22">
        <v>45484</v>
      </c>
      <c r="L39" s="22" t="str">
        <f ca="1">IF(Tableau1[[#This Row],[Type]]= "Sortie",TODAY(),"")</f>
        <v/>
      </c>
      <c r="M39" s="4" t="str">
        <f>IF(Tableau1[[#This Row],[Type]]="Sortie",VLOOKUP(Tableau1[[#This Row],[Nr article]],Tableau14[],4,FALSE),"")</f>
        <v/>
      </c>
    </row>
    <row r="40" spans="2:13" x14ac:dyDescent="0.35">
      <c r="B40" s="4" t="s">
        <v>159</v>
      </c>
      <c r="C40" s="4" t="s">
        <v>271</v>
      </c>
      <c r="D40" s="4" t="s">
        <v>108</v>
      </c>
      <c r="E40" s="4" t="s">
        <v>169</v>
      </c>
      <c r="F40" s="4"/>
      <c r="G40" s="4" t="s">
        <v>265</v>
      </c>
      <c r="H40" s="4">
        <v>70</v>
      </c>
      <c r="I40" s="4" t="str">
        <f>IF(Tableau1[Type]="Sortie",COUNTIFS(Tableau1[Type],"Sortie",Tableau1[Nombre],"&gt;"&amp;Tableau1[[#This Row],[Nombre]])+1,"")</f>
        <v/>
      </c>
      <c r="J40" s="4">
        <f>IF(Tableau1[[#This Row],[Type]]="Entrée",VLOOKUP(Tableau1[[#This Row],[Nr article]],Tableau14[],4,FALSE),"")</f>
        <v>6000</v>
      </c>
      <c r="K40" s="22">
        <v>45513.969201388885</v>
      </c>
      <c r="L40" s="22" t="str">
        <f ca="1">IF(Tableau1[[#This Row],[Type]]= "Sortie",TODAY(),"")</f>
        <v/>
      </c>
      <c r="M40" s="4" t="str">
        <f>IF(Tableau1[[#This Row],[Type]]="Sortie",VLOOKUP(Tableau1[[#This Row],[Nr article]],Tableau14[],4,FALSE),"")</f>
        <v/>
      </c>
    </row>
    <row r="41" spans="2:13" x14ac:dyDescent="0.35">
      <c r="B41" s="4" t="s">
        <v>159</v>
      </c>
      <c r="C41" s="4" t="s">
        <v>284</v>
      </c>
      <c r="D41" s="4" t="s">
        <v>278</v>
      </c>
      <c r="E41" s="4" t="s">
        <v>179</v>
      </c>
      <c r="F41" s="4"/>
      <c r="G41" s="4" t="s">
        <v>41</v>
      </c>
      <c r="H41" s="4">
        <v>54</v>
      </c>
      <c r="I41" s="4" t="str">
        <f>IF(Tableau1[Type]="Sortie",COUNTIFS(Tableau1[Type],"Sortie",Tableau1[Nombre],"&gt;"&amp;Tableau1[[#This Row],[Nombre]])+1,"")</f>
        <v/>
      </c>
      <c r="J41" s="4">
        <f>IF(Tableau1[[#This Row],[Type]]="Entrée",VLOOKUP(Tableau1[[#This Row],[Nr article]],Tableau14[],4,FALSE),"")</f>
        <v>3900</v>
      </c>
      <c r="K41" s="22">
        <v>45514</v>
      </c>
      <c r="L41" s="22" t="str">
        <f ca="1">IF(Tableau1[[#This Row],[Type]]= "Sortie",TODAY(),"")</f>
        <v/>
      </c>
      <c r="M41" s="4" t="str">
        <f>IF(Tableau1[[#This Row],[Type]]="Sortie",VLOOKUP(Tableau1[[#This Row],[Nr article]],Tableau14[],4,FALSE),"")</f>
        <v/>
      </c>
    </row>
    <row r="42" spans="2:13" x14ac:dyDescent="0.35">
      <c r="B42" s="4" t="s">
        <v>159</v>
      </c>
      <c r="C42" s="4" t="s">
        <v>284</v>
      </c>
      <c r="D42" s="4" t="s">
        <v>278</v>
      </c>
      <c r="E42" s="4" t="s">
        <v>179</v>
      </c>
      <c r="F42" s="4"/>
      <c r="G42" s="4" t="s">
        <v>254</v>
      </c>
      <c r="H42" s="4">
        <v>21</v>
      </c>
      <c r="I42" s="4" t="str">
        <f>IF(Tableau1[Type]="Sortie",COUNTIFS(Tableau1[Type],"Sortie",Tableau1[Nombre],"&gt;"&amp;Tableau1[[#This Row],[Nombre]])+1,"")</f>
        <v/>
      </c>
      <c r="J42" s="4">
        <f>IF(Tableau1[[#This Row],[Type]]="Entrée",VLOOKUP(Tableau1[[#This Row],[Nr article]],Tableau14[],4,FALSE),"")</f>
        <v>12800</v>
      </c>
      <c r="K42" s="22">
        <v>45515</v>
      </c>
      <c r="L42" s="22" t="str">
        <f ca="1">IF(Tableau1[[#This Row],[Type]]= "Sortie",TODAY(),"")</f>
        <v/>
      </c>
      <c r="M42" s="4" t="str">
        <f>IF(Tableau1[[#This Row],[Type]]="Sortie",VLOOKUP(Tableau1[[#This Row],[Nr article]],Tableau14[],4,FALSE),"")</f>
        <v/>
      </c>
    </row>
    <row r="43" spans="2:13" x14ac:dyDescent="0.35">
      <c r="B43" s="4" t="s">
        <v>159</v>
      </c>
      <c r="C43" s="4" t="s">
        <v>284</v>
      </c>
      <c r="D43" s="4" t="s">
        <v>278</v>
      </c>
      <c r="E43" s="4" t="s">
        <v>179</v>
      </c>
      <c r="F43" s="4"/>
      <c r="G43" s="4" t="s">
        <v>40</v>
      </c>
      <c r="H43" s="4">
        <v>21</v>
      </c>
      <c r="I43" s="4" t="str">
        <f>IF(Tableau1[Type]="Sortie",COUNTIFS(Tableau1[Type],"Sortie",Tableau1[Nombre],"&gt;"&amp;Tableau1[[#This Row],[Nombre]])+1,"")</f>
        <v/>
      </c>
      <c r="J43" s="4">
        <f>IF(Tableau1[[#This Row],[Type]]="Entrée",VLOOKUP(Tableau1[[#This Row],[Nr article]],Tableau14[],4,FALSE),"")</f>
        <v>3900</v>
      </c>
      <c r="K43" s="22">
        <v>45516</v>
      </c>
      <c r="L43" s="22" t="str">
        <f ca="1">IF(Tableau1[[#This Row],[Type]]= "Sortie",TODAY(),"")</f>
        <v/>
      </c>
      <c r="M43" s="4" t="str">
        <f>IF(Tableau1[[#This Row],[Type]]="Sortie",VLOOKUP(Tableau1[[#This Row],[Nr article]],Tableau14[],4,FALSE),"")</f>
        <v/>
      </c>
    </row>
    <row r="44" spans="2:13" x14ac:dyDescent="0.35">
      <c r="B44" s="4" t="s">
        <v>159</v>
      </c>
      <c r="C44" s="4" t="s">
        <v>284</v>
      </c>
      <c r="D44" s="4" t="s">
        <v>278</v>
      </c>
      <c r="E44" s="4" t="s">
        <v>179</v>
      </c>
      <c r="F44" s="4"/>
      <c r="G44" s="4" t="s">
        <v>38</v>
      </c>
      <c r="H44" s="4">
        <v>76</v>
      </c>
      <c r="I44" s="4" t="str">
        <f>IF(Tableau1[Type]="Sortie",COUNTIFS(Tableau1[Type],"Sortie",Tableau1[Nombre],"&gt;"&amp;Tableau1[[#This Row],[Nombre]])+1,"")</f>
        <v/>
      </c>
      <c r="J44" s="4">
        <f>IF(Tableau1[[#This Row],[Type]]="Entrée",VLOOKUP(Tableau1[[#This Row],[Nr article]],Tableau14[],4,FALSE),"")</f>
        <v>18900</v>
      </c>
      <c r="K44" s="22">
        <v>45544.971087962964</v>
      </c>
      <c r="L44" s="22" t="str">
        <f ca="1">IF(Tableau1[[#This Row],[Type]]= "Sortie",TODAY(),"")</f>
        <v/>
      </c>
      <c r="M44" s="4" t="str">
        <f>IF(Tableau1[[#This Row],[Type]]="Sortie",VLOOKUP(Tableau1[[#This Row],[Nr article]],Tableau14[],4,FALSE),"")</f>
        <v/>
      </c>
    </row>
    <row r="45" spans="2:13" x14ac:dyDescent="0.35">
      <c r="B45" s="4" t="s">
        <v>159</v>
      </c>
      <c r="C45" s="4" t="s">
        <v>284</v>
      </c>
      <c r="D45" s="4" t="s">
        <v>278</v>
      </c>
      <c r="E45" s="4" t="s">
        <v>179</v>
      </c>
      <c r="F45" s="4"/>
      <c r="G45" s="4" t="s">
        <v>49</v>
      </c>
      <c r="H45" s="4">
        <v>32</v>
      </c>
      <c r="I45" s="4" t="str">
        <f>IF(Tableau1[Type]="Sortie",COUNTIFS(Tableau1[Type],"Sortie",Tableau1[Nombre],"&gt;"&amp;Tableau1[[#This Row],[Nombre]])+1,"")</f>
        <v/>
      </c>
      <c r="J45" s="4">
        <f>IF(Tableau1[[#This Row],[Type]]="Entrée",VLOOKUP(Tableau1[[#This Row],[Nr article]],Tableau14[],4,FALSE),"")</f>
        <v>89800</v>
      </c>
      <c r="K45" s="22">
        <v>45545</v>
      </c>
      <c r="L45" s="22" t="str">
        <f ca="1">IF(Tableau1[[#This Row],[Type]]= "Sortie",TODAY(),"")</f>
        <v/>
      </c>
      <c r="M45" s="4" t="str">
        <f>IF(Tableau1[[#This Row],[Type]]="Sortie",VLOOKUP(Tableau1[[#This Row],[Nr article]],Tableau14[],4,FALSE),"")</f>
        <v/>
      </c>
    </row>
    <row r="46" spans="2:13" x14ac:dyDescent="0.35">
      <c r="B46" s="4" t="s">
        <v>159</v>
      </c>
      <c r="C46" s="4" t="s">
        <v>284</v>
      </c>
      <c r="D46" s="4" t="s">
        <v>278</v>
      </c>
      <c r="E46" s="4" t="s">
        <v>179</v>
      </c>
      <c r="F46" s="4"/>
      <c r="G46" s="4" t="s">
        <v>45</v>
      </c>
      <c r="H46" s="4">
        <v>16</v>
      </c>
      <c r="I46" s="4" t="str">
        <f>IF(Tableau1[Type]="Sortie",COUNTIFS(Tableau1[Type],"Sortie",Tableau1[Nombre],"&gt;"&amp;Tableau1[[#This Row],[Nombre]])+1,"")</f>
        <v/>
      </c>
      <c r="J46" s="4">
        <f>IF(Tableau1[[#This Row],[Type]]="Entrée",VLOOKUP(Tableau1[[#This Row],[Nr article]],Tableau14[],4,FALSE),"")</f>
        <v>35000</v>
      </c>
      <c r="K46" s="22">
        <v>45574.971087962964</v>
      </c>
      <c r="L46" s="22" t="str">
        <f ca="1">IF(Tableau1[[#This Row],[Type]]= "Sortie",TODAY(),"")</f>
        <v/>
      </c>
      <c r="M46" s="4" t="str">
        <f>IF(Tableau1[[#This Row],[Type]]="Sortie",VLOOKUP(Tableau1[[#This Row],[Nr article]],Tableau14[],4,FALSE),"")</f>
        <v/>
      </c>
    </row>
    <row r="47" spans="2:13" x14ac:dyDescent="0.35">
      <c r="B47" s="4" t="s">
        <v>159</v>
      </c>
      <c r="C47" s="4" t="s">
        <v>284</v>
      </c>
      <c r="D47" s="4" t="s">
        <v>278</v>
      </c>
      <c r="E47" s="4" t="s">
        <v>179</v>
      </c>
      <c r="F47" s="4"/>
      <c r="G47" s="4" t="s">
        <v>260</v>
      </c>
      <c r="H47" s="4">
        <v>54</v>
      </c>
      <c r="I47" s="4" t="str">
        <f>IF(Tableau1[Type]="Sortie",COUNTIFS(Tableau1[Type],"Sortie",Tableau1[Nombre],"&gt;"&amp;Tableau1[[#This Row],[Nombre]])+1,"")</f>
        <v/>
      </c>
      <c r="J47" s="4">
        <f>IF(Tableau1[[#This Row],[Type]]="Entrée",VLOOKUP(Tableau1[[#This Row],[Nr article]],Tableau14[],4,FALSE),"")</f>
        <v>72900</v>
      </c>
      <c r="K47" s="22">
        <v>45575</v>
      </c>
      <c r="L47" s="22" t="str">
        <f ca="1">IF(Tableau1[[#This Row],[Type]]= "Sortie",TODAY(),"")</f>
        <v/>
      </c>
      <c r="M47" s="4" t="str">
        <f>IF(Tableau1[[#This Row],[Type]]="Sortie",VLOOKUP(Tableau1[[#This Row],[Nr article]],Tableau14[],4,FALSE),"")</f>
        <v/>
      </c>
    </row>
    <row r="48" spans="2:13" x14ac:dyDescent="0.35">
      <c r="B48" s="4" t="s">
        <v>159</v>
      </c>
      <c r="C48" s="4" t="s">
        <v>284</v>
      </c>
      <c r="D48" s="4" t="s">
        <v>278</v>
      </c>
      <c r="E48" s="4" t="s">
        <v>179</v>
      </c>
      <c r="F48" s="4"/>
      <c r="G48" s="4" t="s">
        <v>50</v>
      </c>
      <c r="H48" s="4">
        <v>23</v>
      </c>
      <c r="I48" s="4" t="str">
        <f>IF(Tableau1[Type]="Sortie",COUNTIFS(Tableau1[Type],"Sortie",Tableau1[Nombre],"&gt;"&amp;Tableau1[[#This Row],[Nombre]])+1,"")</f>
        <v/>
      </c>
      <c r="J48" s="4">
        <f>IF(Tableau1[[#This Row],[Type]]="Entrée",VLOOKUP(Tableau1[[#This Row],[Nr article]],Tableau14[],4,FALSE),"")</f>
        <v>7600</v>
      </c>
      <c r="K48" s="22">
        <v>45576</v>
      </c>
      <c r="L48" s="22" t="str">
        <f ca="1">IF(Tableau1[[#This Row],[Type]]= "Sortie",TODAY(),"")</f>
        <v/>
      </c>
      <c r="M48" s="4" t="str">
        <f>IF(Tableau1[[#This Row],[Type]]="Sortie",VLOOKUP(Tableau1[[#This Row],[Nr article]],Tableau14[],4,FALSE),"")</f>
        <v/>
      </c>
    </row>
    <row r="49" spans="2:13" x14ac:dyDescent="0.35">
      <c r="B49" s="4" t="s">
        <v>159</v>
      </c>
      <c r="C49" s="4" t="s">
        <v>284</v>
      </c>
      <c r="D49" s="4" t="s">
        <v>278</v>
      </c>
      <c r="E49" s="4" t="s">
        <v>179</v>
      </c>
      <c r="F49" s="4"/>
      <c r="G49" s="4" t="s">
        <v>254</v>
      </c>
      <c r="H49" s="4">
        <v>76</v>
      </c>
      <c r="I49" s="4" t="str">
        <f>IF(Tableau1[Type]="Sortie",COUNTIFS(Tableau1[Type],"Sortie",Tableau1[Nombre],"&gt;"&amp;Tableau1[[#This Row],[Nombre]])+1,"")</f>
        <v/>
      </c>
      <c r="J49" s="4">
        <f>IF(Tableau1[[#This Row],[Type]]="Entrée",VLOOKUP(Tableau1[[#This Row],[Nr article]],Tableau14[],4,FALSE),"")</f>
        <v>12800</v>
      </c>
      <c r="K49" s="22">
        <v>45605.971099537041</v>
      </c>
      <c r="L49" s="22" t="str">
        <f ca="1">IF(Tableau1[[#This Row],[Type]]= "Sortie",TODAY(),"")</f>
        <v/>
      </c>
      <c r="M49" s="4" t="str">
        <f>IF(Tableau1[[#This Row],[Type]]="Sortie",VLOOKUP(Tableau1[[#This Row],[Nr article]],Tableau14[],4,FALSE),"")</f>
        <v/>
      </c>
    </row>
    <row r="50" spans="2:13" x14ac:dyDescent="0.35">
      <c r="B50" s="4" t="s">
        <v>159</v>
      </c>
      <c r="C50" s="4" t="s">
        <v>285</v>
      </c>
      <c r="D50" s="4" t="s">
        <v>101</v>
      </c>
      <c r="E50" s="4" t="s">
        <v>169</v>
      </c>
      <c r="F50" s="4"/>
      <c r="G50" s="4" t="s">
        <v>41</v>
      </c>
      <c r="H50" s="4">
        <v>12</v>
      </c>
      <c r="I50" s="4" t="str">
        <f>IF(Tableau1[Type]="Sortie",COUNTIFS(Tableau1[Type],"Sortie",Tableau1[Nombre],"&gt;"&amp;Tableau1[[#This Row],[Nombre]])+1,"")</f>
        <v/>
      </c>
      <c r="J50" s="4">
        <f>IF(Tableau1[[#This Row],[Type]]="Entrée",VLOOKUP(Tableau1[[#This Row],[Nr article]],Tableau14[],4,FALSE),"")</f>
        <v>3900</v>
      </c>
      <c r="K50" s="22">
        <v>45635.976643518516</v>
      </c>
      <c r="L50" s="22" t="str">
        <f ca="1">IF(Tableau1[[#This Row],[Type]]= "Sortie",TODAY(),"")</f>
        <v/>
      </c>
      <c r="M50" s="4" t="str">
        <f>IF(Tableau1[[#This Row],[Type]]="Sortie",VLOOKUP(Tableau1[[#This Row],[Nr article]],Tableau14[],4,FALSE),"")</f>
        <v/>
      </c>
    </row>
    <row r="51" spans="2:13" x14ac:dyDescent="0.35">
      <c r="B51" s="4" t="s">
        <v>159</v>
      </c>
      <c r="C51" s="4" t="s">
        <v>285</v>
      </c>
      <c r="D51" s="4" t="s">
        <v>108</v>
      </c>
      <c r="E51" s="4" t="s">
        <v>168</v>
      </c>
      <c r="F51" s="4"/>
      <c r="G51" s="4" t="s">
        <v>40</v>
      </c>
      <c r="H51" s="4">
        <v>120</v>
      </c>
      <c r="I51" s="4" t="str">
        <f>IF(Tableau1[Type]="Sortie",COUNTIFS(Tableau1[Type],"Sortie",Tableau1[Nombre],"&gt;"&amp;Tableau1[[#This Row],[Nombre]])+1,"")</f>
        <v/>
      </c>
      <c r="J51" s="4">
        <f>IF(Tableau1[[#This Row],[Type]]="Entrée",VLOOKUP(Tableau1[[#This Row],[Nr article]],Tableau14[],4,FALSE),"")</f>
        <v>3900</v>
      </c>
      <c r="K51" s="22">
        <v>45636</v>
      </c>
      <c r="L51" s="22" t="str">
        <f ca="1">IF(Tableau1[[#This Row],[Type]]= "Sortie",TODAY(),"")</f>
        <v/>
      </c>
      <c r="M51" s="4" t="str">
        <f>IF(Tableau1[[#This Row],[Type]]="Sortie",VLOOKUP(Tableau1[[#This Row],[Nr article]],Tableau14[],4,FALSE),"")</f>
        <v/>
      </c>
    </row>
    <row r="52" spans="2:13" x14ac:dyDescent="0.35">
      <c r="B52" s="4" t="s">
        <v>160</v>
      </c>
      <c r="C52" s="4" t="s">
        <v>299</v>
      </c>
      <c r="D52" s="4" t="s">
        <v>300</v>
      </c>
      <c r="E52" s="4"/>
      <c r="F52" s="4" t="s">
        <v>189</v>
      </c>
      <c r="G52" s="4" t="s">
        <v>42</v>
      </c>
      <c r="H52" s="4">
        <v>12</v>
      </c>
      <c r="I52" s="4">
        <f>IF(Tableau1[Type]="Sortie",COUNTIFS(Tableau1[Type],"Sortie",Tableau1[Nombre],"&gt;"&amp;Tableau1[[#This Row],[Nombre]])+1,"")</f>
        <v>27</v>
      </c>
      <c r="J52" s="4" t="str">
        <f>IF(Tableau1[[#This Row],[Type]]="Entrée",VLOOKUP(Tableau1[[#This Row],[Nr article]],Tableau14[],4,FALSE),"")</f>
        <v/>
      </c>
      <c r="K52" s="22" t="str">
        <f ca="1">IF(Tableau1[[#This Row],[Type]]= "Entrée",TODAY(),"")</f>
        <v/>
      </c>
      <c r="L52" s="22">
        <f ca="1">IF(Tableau1[[#This Row],[Type]]= "Sortie",TODAY(),"")</f>
        <v>45332</v>
      </c>
      <c r="M52" s="4">
        <f>IF(Tableau1[[#This Row],[Type]]="Sortie",VLOOKUP(Tableau1[[#This Row],[Nr article]],Tableau14[],4,FALSE),"")</f>
        <v>12900</v>
      </c>
    </row>
    <row r="53" spans="2:13" x14ac:dyDescent="0.35">
      <c r="B53" s="4" t="s">
        <v>159</v>
      </c>
      <c r="C53" s="4" t="s">
        <v>302</v>
      </c>
      <c r="D53" s="4" t="s">
        <v>91</v>
      </c>
      <c r="E53" s="4" t="s">
        <v>165</v>
      </c>
      <c r="F53" s="4"/>
      <c r="G53" s="4" t="s">
        <v>31</v>
      </c>
      <c r="H53" s="4">
        <v>23</v>
      </c>
      <c r="I53" s="4" t="str">
        <f>IF(Tableau1[Type]="Sortie",COUNTIFS(Tableau1[Type],"Sortie",Tableau1[Nombre],"&gt;"&amp;Tableau1[[#This Row],[Nombre]])+1,"")</f>
        <v/>
      </c>
      <c r="J53" s="4">
        <f>IF(Tableau1[[#This Row],[Type]]="Entrée",VLOOKUP(Tableau1[[#This Row],[Nr article]],Tableau14[],4,FALSE),"")</f>
        <v>9400</v>
      </c>
      <c r="K53" s="22">
        <v>45301.023553240739</v>
      </c>
      <c r="L53" s="22" t="str">
        <f ca="1">IF(Tableau1[[#This Row],[Type]]= "Sortie",TODAY(),"")</f>
        <v/>
      </c>
      <c r="M53" s="4" t="str">
        <f>IF(Tableau1[[#This Row],[Type]]="Sortie",VLOOKUP(Tableau1[[#This Row],[Nr article]],Tableau14[],4,FALSE),"")</f>
        <v/>
      </c>
    </row>
    <row r="54" spans="2:13" x14ac:dyDescent="0.35">
      <c r="B54" s="4" t="s">
        <v>159</v>
      </c>
      <c r="C54" s="4" t="s">
        <v>302</v>
      </c>
      <c r="D54" s="4" t="s">
        <v>91</v>
      </c>
      <c r="E54" s="4" t="s">
        <v>165</v>
      </c>
      <c r="F54" s="4"/>
      <c r="G54" s="4" t="s">
        <v>39</v>
      </c>
      <c r="H54" s="4">
        <v>34</v>
      </c>
      <c r="I54" s="4" t="str">
        <f>IF(Tableau1[Type]="Sortie",COUNTIFS(Tableau1[Type],"Sortie",Tableau1[Nombre],"&gt;"&amp;Tableau1[[#This Row],[Nombre]])+1,"")</f>
        <v/>
      </c>
      <c r="J54" s="4">
        <f>IF(Tableau1[[#This Row],[Type]]="Entrée",VLOOKUP(Tableau1[[#This Row],[Nr article]],Tableau14[],4,FALSE),"")</f>
        <v>75000</v>
      </c>
      <c r="K54" s="22">
        <v>45302</v>
      </c>
      <c r="L54" s="22" t="str">
        <f ca="1">IF(Tableau1[[#This Row],[Type]]= "Sortie",TODAY(),"")</f>
        <v/>
      </c>
      <c r="M54" s="4" t="str">
        <f>IF(Tableau1[[#This Row],[Type]]="Sortie",VLOOKUP(Tableau1[[#This Row],[Nr article]],Tableau14[],4,FALSE),"")</f>
        <v/>
      </c>
    </row>
    <row r="55" spans="2:13" x14ac:dyDescent="0.35">
      <c r="B55" s="4" t="s">
        <v>159</v>
      </c>
      <c r="C55" s="4" t="s">
        <v>302</v>
      </c>
      <c r="D55" s="4" t="s">
        <v>91</v>
      </c>
      <c r="E55" s="4" t="s">
        <v>165</v>
      </c>
      <c r="F55" s="4"/>
      <c r="G55" s="4" t="s">
        <v>41</v>
      </c>
      <c r="H55" s="4">
        <v>23</v>
      </c>
      <c r="I55" s="4" t="str">
        <f>IF(Tableau1[Type]="Sortie",COUNTIFS(Tableau1[Type],"Sortie",Tableau1[Nombre],"&gt;"&amp;Tableau1[[#This Row],[Nombre]])+1,"")</f>
        <v/>
      </c>
      <c r="J55" s="4">
        <f>IF(Tableau1[[#This Row],[Type]]="Entrée",VLOOKUP(Tableau1[[#This Row],[Nr article]],Tableau14[],4,FALSE),"")</f>
        <v>3900</v>
      </c>
      <c r="K55" s="22">
        <v>45303</v>
      </c>
      <c r="L55" s="22" t="str">
        <f ca="1">IF(Tableau1[[#This Row],[Type]]= "Sortie",TODAY(),"")</f>
        <v/>
      </c>
      <c r="M55" s="4" t="str">
        <f>IF(Tableau1[[#This Row],[Type]]="Sortie",VLOOKUP(Tableau1[[#This Row],[Nr article]],Tableau14[],4,FALSE),"")</f>
        <v/>
      </c>
    </row>
    <row r="56" spans="2:13" x14ac:dyDescent="0.35">
      <c r="B56" s="4" t="s">
        <v>159</v>
      </c>
      <c r="C56" s="4" t="s">
        <v>302</v>
      </c>
      <c r="D56" s="4" t="s">
        <v>91</v>
      </c>
      <c r="E56" s="4" t="s">
        <v>165</v>
      </c>
      <c r="F56" s="4"/>
      <c r="G56" s="4" t="s">
        <v>41</v>
      </c>
      <c r="H56" s="4">
        <v>50</v>
      </c>
      <c r="I56" s="4" t="str">
        <f>IF(Tableau1[Type]="Sortie",COUNTIFS(Tableau1[Type],"Sortie",Tableau1[Nombre],"&gt;"&amp;Tableau1[[#This Row],[Nombre]])+1,"")</f>
        <v/>
      </c>
      <c r="J56" s="4">
        <f>IF(Tableau1[[#This Row],[Type]]="Entrée",VLOOKUP(Tableau1[[#This Row],[Nr article]],Tableau14[],4,FALSE),"")</f>
        <v>3900</v>
      </c>
      <c r="K56" s="22">
        <v>45304</v>
      </c>
      <c r="L56" s="22" t="str">
        <f ca="1">IF(Tableau1[[#This Row],[Type]]= "Sortie",TODAY(),"")</f>
        <v/>
      </c>
      <c r="M56" s="4" t="str">
        <f>IF(Tableau1[[#This Row],[Type]]="Sortie",VLOOKUP(Tableau1[[#This Row],[Nr article]],Tableau14[],4,FALSE),"")</f>
        <v/>
      </c>
    </row>
    <row r="57" spans="2:13" x14ac:dyDescent="0.35">
      <c r="B57" s="4" t="s">
        <v>160</v>
      </c>
      <c r="C57" s="4" t="s">
        <v>302</v>
      </c>
      <c r="D57" s="4" t="s">
        <v>298</v>
      </c>
      <c r="E57" s="4"/>
      <c r="F57" s="4" t="s">
        <v>190</v>
      </c>
      <c r="G57" s="4" t="s">
        <v>39</v>
      </c>
      <c r="H57" s="4">
        <v>1</v>
      </c>
      <c r="I57" s="4">
        <f>IF(Tableau1[Type]="Sortie",COUNTIFS(Tableau1[Type],"Sortie",Tableau1[Nombre],"&gt;"&amp;Tableau1[[#This Row],[Nombre]])+1,"")</f>
        <v>40</v>
      </c>
      <c r="J57" s="4" t="str">
        <f>IF(Tableau1[[#This Row],[Type]]="Entrée",VLOOKUP(Tableau1[[#This Row],[Nr article]],Tableau14[],4,FALSE),"")</f>
        <v/>
      </c>
      <c r="K57" s="22">
        <v>45332.026122685187</v>
      </c>
      <c r="L57" s="22">
        <f ca="1">IF(Tableau1[[#This Row],[Type]]= "Sortie",TODAY(),"")</f>
        <v>45332</v>
      </c>
      <c r="M57" s="4">
        <f>IF(Tableau1[[#This Row],[Type]]="Sortie",VLOOKUP(Tableau1[[#This Row],[Nr article]],Tableau14[],4,FALSE),"")</f>
        <v>75000</v>
      </c>
    </row>
    <row r="58" spans="2:13" x14ac:dyDescent="0.35">
      <c r="B58" s="4" t="s">
        <v>160</v>
      </c>
      <c r="C58" s="4" t="s">
        <v>302</v>
      </c>
      <c r="D58" s="4" t="s">
        <v>298</v>
      </c>
      <c r="E58" s="4"/>
      <c r="F58" s="4" t="s">
        <v>190</v>
      </c>
      <c r="G58" s="4" t="s">
        <v>39</v>
      </c>
      <c r="H58" s="4">
        <v>1</v>
      </c>
      <c r="I58" s="4">
        <f>IF(Tableau1[Type]="Sortie",COUNTIFS(Tableau1[Type],"Sortie",Tableau1[Nombre],"&gt;"&amp;Tableau1[[#This Row],[Nombre]])+1,"")</f>
        <v>40</v>
      </c>
      <c r="J58" s="4" t="str">
        <f>IF(Tableau1[[#This Row],[Type]]="Entrée",VLOOKUP(Tableau1[[#This Row],[Nr article]],Tableau14[],4,FALSE),"")</f>
        <v/>
      </c>
      <c r="K58" s="22">
        <v>45332.026122685187</v>
      </c>
      <c r="L58" s="22">
        <f ca="1">IF(Tableau1[[#This Row],[Type]]= "Sortie",TODAY(),"")</f>
        <v>45332</v>
      </c>
      <c r="M58" s="4">
        <f>IF(Tableau1[[#This Row],[Type]]="Sortie",VLOOKUP(Tableau1[[#This Row],[Nr article]],Tableau14[],4,FALSE),"")</f>
        <v>75000</v>
      </c>
    </row>
    <row r="59" spans="2:13" x14ac:dyDescent="0.35">
      <c r="B59" s="4" t="s">
        <v>160</v>
      </c>
      <c r="C59" s="4" t="s">
        <v>302</v>
      </c>
      <c r="D59" s="4" t="s">
        <v>298</v>
      </c>
      <c r="E59" s="4"/>
      <c r="F59" s="4" t="s">
        <v>190</v>
      </c>
      <c r="G59" s="4" t="s">
        <v>41</v>
      </c>
      <c r="H59" s="4">
        <v>2</v>
      </c>
      <c r="I59" s="4">
        <f>IF(Tableau1[Type]="Sortie",COUNTIFS(Tableau1[Type],"Sortie",Tableau1[Nombre],"&gt;"&amp;Tableau1[[#This Row],[Nombre]])+1,"")</f>
        <v>38</v>
      </c>
      <c r="J59" s="4" t="str">
        <f>IF(Tableau1[[#This Row],[Type]]="Entrée",VLOOKUP(Tableau1[[#This Row],[Nr article]],Tableau14[],4,FALSE),"")</f>
        <v/>
      </c>
      <c r="K59" s="22">
        <v>45332.026122685187</v>
      </c>
      <c r="L59" s="22">
        <f ca="1">IF(Tableau1[[#This Row],[Type]]= "Sortie",TODAY(),"")</f>
        <v>45332</v>
      </c>
      <c r="M59" s="4">
        <f>IF(Tableau1[[#This Row],[Type]]="Sortie",VLOOKUP(Tableau1[[#This Row],[Nr article]],Tableau14[],4,FALSE),"")</f>
        <v>3900</v>
      </c>
    </row>
    <row r="60" spans="2:13" x14ac:dyDescent="0.35">
      <c r="B60" s="4" t="s">
        <v>160</v>
      </c>
      <c r="C60" s="4" t="s">
        <v>307</v>
      </c>
      <c r="D60" s="4" t="s">
        <v>161</v>
      </c>
      <c r="E60" s="4"/>
      <c r="F60" s="4" t="s">
        <v>190</v>
      </c>
      <c r="G60" s="4" t="s">
        <v>42</v>
      </c>
      <c r="H60" s="4">
        <v>10</v>
      </c>
      <c r="I60" s="4">
        <f>IF(Tableau1[Type]="Sortie",COUNTIFS(Tableau1[Type],"Sortie",Tableau1[Nombre],"&gt;"&amp;Tableau1[[#This Row],[Nombre]])+1,"")</f>
        <v>33</v>
      </c>
      <c r="J60" s="4" t="str">
        <f>IF(Tableau1[[#This Row],[Type]]="Entrée",VLOOKUP(Tableau1[[#This Row],[Nr article]],Tableau14[],4,FALSE),"")</f>
        <v/>
      </c>
      <c r="K60" s="22">
        <v>45332.060590277775</v>
      </c>
      <c r="L60" s="22">
        <f ca="1">IF(Tableau1[[#This Row],[Type]]= "Sortie",TODAY(),"")</f>
        <v>45332</v>
      </c>
      <c r="M60" s="4">
        <f>IF(Tableau1[[#This Row],[Type]]="Sortie",VLOOKUP(Tableau1[[#This Row],[Nr article]],Tableau14[],4,FALSE),"")</f>
        <v>12900</v>
      </c>
    </row>
    <row r="61" spans="2:13" x14ac:dyDescent="0.35">
      <c r="B61" s="4" t="s">
        <v>160</v>
      </c>
      <c r="C61" s="4" t="s">
        <v>308</v>
      </c>
      <c r="D61" s="4" t="s">
        <v>161</v>
      </c>
      <c r="E61" s="4"/>
      <c r="F61" s="4" t="s">
        <v>193</v>
      </c>
      <c r="G61" s="4" t="s">
        <v>44</v>
      </c>
      <c r="H61" s="4">
        <v>12</v>
      </c>
      <c r="I61" s="4">
        <f>IF(Tableau1[Type]="Sortie",COUNTIFS(Tableau1[Type],"Sortie",Tableau1[Nombre],"&gt;"&amp;Tableau1[[#This Row],[Nombre]])+1,"")</f>
        <v>27</v>
      </c>
      <c r="J61" s="4" t="str">
        <f>IF(Tableau1[[#This Row],[Type]]="Entrée",VLOOKUP(Tableau1[[#This Row],[Nr article]],Tableau14[],4,FALSE),"")</f>
        <v/>
      </c>
      <c r="K61" s="22">
        <v>45332.066747685189</v>
      </c>
      <c r="L61" s="22">
        <f ca="1">IF(Tableau1[[#This Row],[Type]]= "Sortie",TODAY(),"")</f>
        <v>45332</v>
      </c>
      <c r="M61" s="4">
        <f>IF(Tableau1[[#This Row],[Type]]="Sortie",VLOOKUP(Tableau1[[#This Row],[Nr article]],Tableau14[],4,FALSE),"")</f>
        <v>45000</v>
      </c>
    </row>
    <row r="62" spans="2:13" x14ac:dyDescent="0.35">
      <c r="B62" s="4" t="s">
        <v>160</v>
      </c>
      <c r="C62" s="4" t="s">
        <v>309</v>
      </c>
      <c r="D62" s="4" t="s">
        <v>161</v>
      </c>
      <c r="E62" s="4"/>
      <c r="F62" s="4" t="s">
        <v>200</v>
      </c>
      <c r="G62" s="4" t="s">
        <v>43</v>
      </c>
      <c r="H62" s="4">
        <v>10</v>
      </c>
      <c r="I62" s="4">
        <f>IF(Tableau1[Type]="Sortie",COUNTIFS(Tableau1[Type],"Sortie",Tableau1[Nombre],"&gt;"&amp;Tableau1[[#This Row],[Nombre]])+1,"")</f>
        <v>33</v>
      </c>
      <c r="J62" s="4" t="str">
        <f>IF(Tableau1[[#This Row],[Type]]="Entrée",VLOOKUP(Tableau1[[#This Row],[Nr article]],Tableau14[],4,FALSE),"")</f>
        <v/>
      </c>
      <c r="K62" s="22">
        <v>45332.076145833336</v>
      </c>
      <c r="L62" s="22">
        <f ca="1">IF(Tableau1[[#This Row],[Type]]= "Sortie",TODAY(),"")</f>
        <v>45332</v>
      </c>
      <c r="M62" s="4">
        <f>IF(Tableau1[[#This Row],[Type]]="Sortie",VLOOKUP(Tableau1[[#This Row],[Nr article]],Tableau14[],4,FALSE),"")</f>
        <v>129000</v>
      </c>
    </row>
    <row r="63" spans="2:13" x14ac:dyDescent="0.35">
      <c r="B63" s="4" t="s">
        <v>160</v>
      </c>
      <c r="C63" s="4" t="s">
        <v>309</v>
      </c>
      <c r="D63" s="4" t="s">
        <v>161</v>
      </c>
      <c r="E63" s="4"/>
      <c r="F63" s="4" t="s">
        <v>200</v>
      </c>
      <c r="G63" s="4" t="s">
        <v>40</v>
      </c>
      <c r="H63" s="4">
        <v>16</v>
      </c>
      <c r="I63" s="4">
        <f>IF(Tableau1[Type]="Sortie",COUNTIFS(Tableau1[Type],"Sortie",Tableau1[Nombre],"&gt;"&amp;Tableau1[[#This Row],[Nombre]])+1,"")</f>
        <v>16</v>
      </c>
      <c r="J63" s="4" t="str">
        <f>IF(Tableau1[[#This Row],[Type]]="Entrée",VLOOKUP(Tableau1[[#This Row],[Nr article]],Tableau14[],4,FALSE),"")</f>
        <v/>
      </c>
      <c r="K63" s="22">
        <v>45332.076145833336</v>
      </c>
      <c r="L63" s="22">
        <f ca="1">IF(Tableau1[[#This Row],[Type]]= "Sortie",TODAY(),"")</f>
        <v>45332</v>
      </c>
      <c r="M63" s="4">
        <f>IF(Tableau1[[#This Row],[Type]]="Sortie",VLOOKUP(Tableau1[[#This Row],[Nr article]],Tableau14[],4,FALSE),"")</f>
        <v>3900</v>
      </c>
    </row>
    <row r="64" spans="2:13" x14ac:dyDescent="0.35">
      <c r="B64" s="4" t="s">
        <v>160</v>
      </c>
      <c r="C64" s="4" t="s">
        <v>309</v>
      </c>
      <c r="D64" s="4" t="s">
        <v>161</v>
      </c>
      <c r="E64" s="4"/>
      <c r="F64" s="4" t="s">
        <v>200</v>
      </c>
      <c r="G64" s="4" t="s">
        <v>43</v>
      </c>
      <c r="H64" s="4">
        <v>14</v>
      </c>
      <c r="I64" s="4">
        <f>IF(Tableau1[Type]="Sortie",COUNTIFS(Tableau1[Type],"Sortie",Tableau1[Nombre],"&gt;"&amp;Tableau1[[#This Row],[Nombre]])+1,"")</f>
        <v>20</v>
      </c>
      <c r="J64" s="4" t="str">
        <f>IF(Tableau1[[#This Row],[Type]]="Entrée",VLOOKUP(Tableau1[[#This Row],[Nr article]],Tableau14[],4,FALSE),"")</f>
        <v/>
      </c>
      <c r="K64" s="22">
        <v>45332.076145833336</v>
      </c>
      <c r="L64" s="22">
        <f ca="1">IF(Tableau1[[#This Row],[Type]]= "Sortie",TODAY(),"")</f>
        <v>45332</v>
      </c>
      <c r="M64" s="4">
        <f>IF(Tableau1[[#This Row],[Type]]="Sortie",VLOOKUP(Tableau1[[#This Row],[Nr article]],Tableau14[],4,FALSE),"")</f>
        <v>129000</v>
      </c>
    </row>
    <row r="65" spans="2:13" x14ac:dyDescent="0.35">
      <c r="B65" s="4" t="s">
        <v>160</v>
      </c>
      <c r="C65" s="4" t="s">
        <v>309</v>
      </c>
      <c r="D65" s="4" t="s">
        <v>161</v>
      </c>
      <c r="E65" s="4"/>
      <c r="F65" s="4" t="s">
        <v>200</v>
      </c>
      <c r="G65" s="4" t="s">
        <v>254</v>
      </c>
      <c r="H65" s="4">
        <v>18</v>
      </c>
      <c r="I65" s="4">
        <f>IF(Tableau1[Type]="Sortie",COUNTIFS(Tableau1[Type],"Sortie",Tableau1[Nombre],"&gt;"&amp;Tableau1[[#This Row],[Nombre]])+1,"")</f>
        <v>12</v>
      </c>
      <c r="J65" s="4" t="str">
        <f>IF(Tableau1[[#This Row],[Type]]="Entrée",VLOOKUP(Tableau1[[#This Row],[Nr article]],Tableau14[],4,FALSE),"")</f>
        <v/>
      </c>
      <c r="K65" s="22">
        <v>45332.076145833336</v>
      </c>
      <c r="L65" s="22">
        <f ca="1">IF(Tableau1[[#This Row],[Type]]= "Sortie",TODAY(),"")</f>
        <v>45332</v>
      </c>
      <c r="M65" s="4">
        <f>IF(Tableau1[[#This Row],[Type]]="Sortie",VLOOKUP(Tableau1[[#This Row],[Nr article]],Tableau14[],4,FALSE),"")</f>
        <v>12800</v>
      </c>
    </row>
    <row r="66" spans="2:13" x14ac:dyDescent="0.35">
      <c r="B66" s="4" t="s">
        <v>160</v>
      </c>
      <c r="C66" s="4" t="s">
        <v>309</v>
      </c>
      <c r="D66" s="4" t="s">
        <v>161</v>
      </c>
      <c r="E66" s="4"/>
      <c r="F66" s="4" t="s">
        <v>200</v>
      </c>
      <c r="G66" s="4" t="s">
        <v>50</v>
      </c>
      <c r="H66" s="4">
        <v>19</v>
      </c>
      <c r="I66" s="4">
        <f>IF(Tableau1[Type]="Sortie",COUNTIFS(Tableau1[Type],"Sortie",Tableau1[Nombre],"&gt;"&amp;Tableau1[[#This Row],[Nombre]])+1,"")</f>
        <v>6</v>
      </c>
      <c r="J66" s="4" t="str">
        <f>IF(Tableau1[[#This Row],[Type]]="Entrée",VLOOKUP(Tableau1[[#This Row],[Nr article]],Tableau14[],4,FALSE),"")</f>
        <v/>
      </c>
      <c r="K66" s="22">
        <v>45332.076145833336</v>
      </c>
      <c r="L66" s="22">
        <f ca="1">IF(Tableau1[[#This Row],[Type]]= "Sortie",TODAY(),"")</f>
        <v>45332</v>
      </c>
      <c r="M66" s="4">
        <f>IF(Tableau1[[#This Row],[Type]]="Sortie",VLOOKUP(Tableau1[[#This Row],[Nr article]],Tableau14[],4,FALSE),"")</f>
        <v>7600</v>
      </c>
    </row>
    <row r="67" spans="2:13" x14ac:dyDescent="0.35">
      <c r="B67" s="4" t="s">
        <v>160</v>
      </c>
      <c r="C67" s="4" t="s">
        <v>309</v>
      </c>
      <c r="D67" s="4" t="s">
        <v>161</v>
      </c>
      <c r="E67" s="4"/>
      <c r="F67" s="4" t="s">
        <v>200</v>
      </c>
      <c r="G67" s="4" t="s">
        <v>267</v>
      </c>
      <c r="H67" s="4">
        <v>29</v>
      </c>
      <c r="I67" s="4">
        <f>IF(Tableau1[Type]="Sortie",COUNTIFS(Tableau1[Type],"Sortie",Tableau1[Nombre],"&gt;"&amp;Tableau1[[#This Row],[Nombre]])+1,"")</f>
        <v>3</v>
      </c>
      <c r="J67" s="4" t="str">
        <f>IF(Tableau1[[#This Row],[Type]]="Entrée",VLOOKUP(Tableau1[[#This Row],[Nr article]],Tableau14[],4,FALSE),"")</f>
        <v/>
      </c>
      <c r="K67" s="22">
        <v>45332.076145833336</v>
      </c>
      <c r="L67" s="22">
        <f ca="1">IF(Tableau1[[#This Row],[Type]]= "Sortie",TODAY(),"")</f>
        <v>45332</v>
      </c>
      <c r="M67" s="4">
        <f>IF(Tableau1[[#This Row],[Type]]="Sortie",VLOOKUP(Tableau1[[#This Row],[Nr article]],Tableau14[],4,FALSE),"")</f>
        <v>156000</v>
      </c>
    </row>
    <row r="68" spans="2:13" x14ac:dyDescent="0.35">
      <c r="B68" s="4" t="s">
        <v>160</v>
      </c>
      <c r="C68" s="4" t="s">
        <v>309</v>
      </c>
      <c r="D68" s="4" t="s">
        <v>161</v>
      </c>
      <c r="E68" s="4"/>
      <c r="F68" s="4" t="s">
        <v>200</v>
      </c>
      <c r="G68" s="4" t="s">
        <v>43</v>
      </c>
      <c r="H68" s="4">
        <v>38</v>
      </c>
      <c r="I68" s="4">
        <f>IF(Tableau1[Type]="Sortie",COUNTIFS(Tableau1[Type],"Sortie",Tableau1[Nombre],"&gt;"&amp;Tableau1[[#This Row],[Nombre]])+1,"")</f>
        <v>2</v>
      </c>
      <c r="J68" s="4" t="str">
        <f>IF(Tableau1[[#This Row],[Type]]="Entrée",VLOOKUP(Tableau1[[#This Row],[Nr article]],Tableau14[],4,FALSE),"")</f>
        <v/>
      </c>
      <c r="K68" s="22">
        <v>45332.076145833336</v>
      </c>
      <c r="L68" s="22">
        <f ca="1">IF(Tableau1[[#This Row],[Type]]= "Sortie",TODAY(),"")</f>
        <v>45332</v>
      </c>
      <c r="M68" s="4">
        <f>IF(Tableau1[[#This Row],[Type]]="Sortie",VLOOKUP(Tableau1[[#This Row],[Nr article]],Tableau14[],4,FALSE),"")</f>
        <v>129000</v>
      </c>
    </row>
    <row r="69" spans="2:13" x14ac:dyDescent="0.35">
      <c r="B69" s="4" t="s">
        <v>160</v>
      </c>
      <c r="C69" s="4" t="s">
        <v>309</v>
      </c>
      <c r="D69" s="4" t="s">
        <v>161</v>
      </c>
      <c r="E69" s="4"/>
      <c r="F69" s="4" t="s">
        <v>200</v>
      </c>
      <c r="G69" s="4" t="s">
        <v>41</v>
      </c>
      <c r="H69" s="4">
        <v>16</v>
      </c>
      <c r="I69" s="4">
        <f>IF(Tableau1[Type]="Sortie",COUNTIFS(Tableau1[Type],"Sortie",Tableau1[Nombre],"&gt;"&amp;Tableau1[[#This Row],[Nombre]])+1,"")</f>
        <v>16</v>
      </c>
      <c r="J69" s="4" t="str">
        <f>IF(Tableau1[[#This Row],[Type]]="Entrée",VLOOKUP(Tableau1[[#This Row],[Nr article]],Tableau14[],4,FALSE),"")</f>
        <v/>
      </c>
      <c r="K69" s="22">
        <v>45332.076157407406</v>
      </c>
      <c r="L69" s="22">
        <f ca="1">IF(Tableau1[[#This Row],[Type]]= "Sortie",TODAY(),"")</f>
        <v>45332</v>
      </c>
      <c r="M69" s="4">
        <f>IF(Tableau1[[#This Row],[Type]]="Sortie",VLOOKUP(Tableau1[[#This Row],[Nr article]],Tableau14[],4,FALSE),"")</f>
        <v>3900</v>
      </c>
    </row>
    <row r="70" spans="2:13" x14ac:dyDescent="0.35">
      <c r="B70" s="4" t="s">
        <v>160</v>
      </c>
      <c r="C70" s="4" t="s">
        <v>309</v>
      </c>
      <c r="D70" s="4" t="s">
        <v>161</v>
      </c>
      <c r="E70" s="4"/>
      <c r="F70" s="4" t="s">
        <v>200</v>
      </c>
      <c r="G70" s="4" t="s">
        <v>44</v>
      </c>
      <c r="H70" s="4">
        <v>12</v>
      </c>
      <c r="I70" s="4">
        <f>IF(Tableau1[Type]="Sortie",COUNTIFS(Tableau1[Type],"Sortie",Tableau1[Nombre],"&gt;"&amp;Tableau1[[#This Row],[Nombre]])+1,"")</f>
        <v>27</v>
      </c>
      <c r="J70" s="4" t="str">
        <f>IF(Tableau1[[#This Row],[Type]]="Entrée",VLOOKUP(Tableau1[[#This Row],[Nr article]],Tableau14[],4,FALSE),"")</f>
        <v/>
      </c>
      <c r="K70" s="22">
        <v>45332.076157407406</v>
      </c>
      <c r="L70" s="22">
        <f ca="1">IF(Tableau1[[#This Row],[Type]]= "Sortie",TODAY(),"")</f>
        <v>45332</v>
      </c>
      <c r="M70" s="4">
        <f>IF(Tableau1[[#This Row],[Type]]="Sortie",VLOOKUP(Tableau1[[#This Row],[Nr article]],Tableau14[],4,FALSE),"")</f>
        <v>45000</v>
      </c>
    </row>
    <row r="71" spans="2:13" x14ac:dyDescent="0.35">
      <c r="B71" s="4" t="s">
        <v>160</v>
      </c>
      <c r="C71" s="4" t="s">
        <v>309</v>
      </c>
      <c r="D71" s="4" t="s">
        <v>161</v>
      </c>
      <c r="E71" s="4"/>
      <c r="F71" s="4" t="s">
        <v>200</v>
      </c>
      <c r="G71" s="4" t="s">
        <v>49</v>
      </c>
      <c r="H71" s="4">
        <v>13</v>
      </c>
      <c r="I71" s="4">
        <f>IF(Tableau1[Type]="Sortie",COUNTIFS(Tableau1[Type],"Sortie",Tableau1[Nombre],"&gt;"&amp;Tableau1[[#This Row],[Nombre]])+1,"")</f>
        <v>23</v>
      </c>
      <c r="J71" s="4" t="str">
        <f>IF(Tableau1[[#This Row],[Type]]="Entrée",VLOOKUP(Tableau1[[#This Row],[Nr article]],Tableau14[],4,FALSE),"")</f>
        <v/>
      </c>
      <c r="K71" s="22">
        <v>45332.076157407406</v>
      </c>
      <c r="L71" s="22">
        <f ca="1">IF(Tableau1[[#This Row],[Type]]= "Sortie",TODAY(),"")</f>
        <v>45332</v>
      </c>
      <c r="M71" s="4">
        <f>IF(Tableau1[[#This Row],[Type]]="Sortie",VLOOKUP(Tableau1[[#This Row],[Nr article]],Tableau14[],4,FALSE),"")</f>
        <v>89800</v>
      </c>
    </row>
    <row r="72" spans="2:13" x14ac:dyDescent="0.35">
      <c r="B72" s="4" t="s">
        <v>160</v>
      </c>
      <c r="C72" s="4" t="s">
        <v>309</v>
      </c>
      <c r="D72" s="4" t="s">
        <v>161</v>
      </c>
      <c r="E72" s="4"/>
      <c r="F72" s="4" t="s">
        <v>200</v>
      </c>
      <c r="G72" s="4" t="s">
        <v>266</v>
      </c>
      <c r="H72" s="4">
        <v>17</v>
      </c>
      <c r="I72" s="4">
        <f>IF(Tableau1[Type]="Sortie",COUNTIFS(Tableau1[Type],"Sortie",Tableau1[Nombre],"&gt;"&amp;Tableau1[[#This Row],[Nombre]])+1,"")</f>
        <v>14</v>
      </c>
      <c r="J72" s="4" t="str">
        <f>IF(Tableau1[[#This Row],[Type]]="Entrée",VLOOKUP(Tableau1[[#This Row],[Nr article]],Tableau14[],4,FALSE),"")</f>
        <v/>
      </c>
      <c r="K72" s="22">
        <v>45332.076157407406</v>
      </c>
      <c r="L72" s="22">
        <f ca="1">IF(Tableau1[[#This Row],[Type]]= "Sortie",TODAY(),"")</f>
        <v>45332</v>
      </c>
      <c r="M72" s="4">
        <f>IF(Tableau1[[#This Row],[Type]]="Sortie",VLOOKUP(Tableau1[[#This Row],[Nr article]],Tableau14[],4,FALSE),"")</f>
        <v>7900</v>
      </c>
    </row>
    <row r="73" spans="2:13" x14ac:dyDescent="0.35">
      <c r="B73" s="4" t="s">
        <v>160</v>
      </c>
      <c r="C73" s="4" t="s">
        <v>309</v>
      </c>
      <c r="D73" s="4" t="s">
        <v>161</v>
      </c>
      <c r="E73" s="4"/>
      <c r="F73" s="4" t="s">
        <v>200</v>
      </c>
      <c r="G73" s="4" t="s">
        <v>267</v>
      </c>
      <c r="H73" s="4">
        <v>62</v>
      </c>
      <c r="I73" s="4">
        <f>IF(Tableau1[Type]="Sortie",COUNTIFS(Tableau1[Type],"Sortie",Tableau1[Nombre],"&gt;"&amp;Tableau1[[#This Row],[Nombre]])+1,"")</f>
        <v>1</v>
      </c>
      <c r="J73" s="4" t="str">
        <f>IF(Tableau1[[#This Row],[Type]]="Entrée",VLOOKUP(Tableau1[[#This Row],[Nr article]],Tableau14[],4,FALSE),"")</f>
        <v/>
      </c>
      <c r="K73" s="22">
        <v>45332.076157407406</v>
      </c>
      <c r="L73" s="22">
        <f ca="1">IF(Tableau1[[#This Row],[Type]]= "Sortie",TODAY(),"")</f>
        <v>45332</v>
      </c>
      <c r="M73" s="4">
        <f>IF(Tableau1[[#This Row],[Type]]="Sortie",VLOOKUP(Tableau1[[#This Row],[Nr article]],Tableau14[],4,FALSE),"")</f>
        <v>156000</v>
      </c>
    </row>
    <row r="74" spans="2:13" x14ac:dyDescent="0.35">
      <c r="B74" s="4" t="s">
        <v>160</v>
      </c>
      <c r="C74" s="4" t="s">
        <v>309</v>
      </c>
      <c r="D74" s="4" t="s">
        <v>161</v>
      </c>
      <c r="E74" s="4"/>
      <c r="F74" s="4" t="s">
        <v>200</v>
      </c>
      <c r="G74" s="4" t="s">
        <v>261</v>
      </c>
      <c r="H74" s="4">
        <v>24</v>
      </c>
      <c r="I74" s="4">
        <f>IF(Tableau1[Type]="Sortie",COUNTIFS(Tableau1[Type],"Sortie",Tableau1[Nombre],"&gt;"&amp;Tableau1[[#This Row],[Nombre]])+1,"")</f>
        <v>4</v>
      </c>
      <c r="J74" s="4" t="str">
        <f>IF(Tableau1[[#This Row],[Type]]="Entrée",VLOOKUP(Tableau1[[#This Row],[Nr article]],Tableau14[],4,FALSE),"")</f>
        <v/>
      </c>
      <c r="K74" s="22">
        <v>45332.076157407406</v>
      </c>
      <c r="L74" s="22">
        <f ca="1">IF(Tableau1[[#This Row],[Type]]= "Sortie",TODAY(),"")</f>
        <v>45332</v>
      </c>
      <c r="M74" s="4">
        <f>IF(Tableau1[[#This Row],[Type]]="Sortie",VLOOKUP(Tableau1[[#This Row],[Nr article]],Tableau14[],4,FALSE),"")</f>
        <v>4200</v>
      </c>
    </row>
    <row r="75" spans="2:13" x14ac:dyDescent="0.35">
      <c r="B75" s="4" t="s">
        <v>160</v>
      </c>
      <c r="C75" s="4" t="s">
        <v>309</v>
      </c>
      <c r="D75" s="4" t="s">
        <v>161</v>
      </c>
      <c r="E75" s="4"/>
      <c r="F75" s="4" t="s">
        <v>200</v>
      </c>
      <c r="G75" s="4" t="s">
        <v>259</v>
      </c>
      <c r="H75" s="4">
        <v>23</v>
      </c>
      <c r="I75" s="4">
        <f>IF(Tableau1[Type]="Sortie",COUNTIFS(Tableau1[Type],"Sortie",Tableau1[Nombre],"&gt;"&amp;Tableau1[[#This Row],[Nombre]])+1,"")</f>
        <v>5</v>
      </c>
      <c r="J75" s="4" t="str">
        <f>IF(Tableau1[[#This Row],[Type]]="Entrée",VLOOKUP(Tableau1[[#This Row],[Nr article]],Tableau14[],4,FALSE),"")</f>
        <v/>
      </c>
      <c r="K75" s="22">
        <v>45332.076157407406</v>
      </c>
      <c r="L75" s="22">
        <f ca="1">IF(Tableau1[[#This Row],[Type]]= "Sortie",TODAY(),"")</f>
        <v>45332</v>
      </c>
      <c r="M75" s="4">
        <f>IF(Tableau1[[#This Row],[Type]]="Sortie",VLOOKUP(Tableau1[[#This Row],[Nr article]],Tableau14[],4,FALSE),"")</f>
        <v>6650</v>
      </c>
    </row>
    <row r="76" spans="2:13" x14ac:dyDescent="0.35">
      <c r="B76" s="4" t="s">
        <v>160</v>
      </c>
      <c r="C76" s="4" t="s">
        <v>310</v>
      </c>
      <c r="D76" s="4" t="s">
        <v>161</v>
      </c>
      <c r="E76" s="4"/>
      <c r="F76" s="4" t="s">
        <v>201</v>
      </c>
      <c r="G76" s="4" t="s">
        <v>44</v>
      </c>
      <c r="H76" s="4">
        <v>15</v>
      </c>
      <c r="I76" s="4">
        <f>IF(Tableau1[Type]="Sortie",COUNTIFS(Tableau1[Type],"Sortie",Tableau1[Nombre],"&gt;"&amp;Tableau1[[#This Row],[Nombre]])+1,"")</f>
        <v>18</v>
      </c>
      <c r="J76" s="4" t="str">
        <f>IF(Tableau1[[#This Row],[Type]]="Entrée",VLOOKUP(Tableau1[[#This Row],[Nr article]],Tableau14[],4,FALSE),"")</f>
        <v/>
      </c>
      <c r="K76" s="22">
        <v>45332.078206018516</v>
      </c>
      <c r="L76" s="22">
        <f ca="1">IF(Tableau1[[#This Row],[Type]]= "Sortie",TODAY(),"")</f>
        <v>45332</v>
      </c>
      <c r="M76" s="4">
        <f>IF(Tableau1[[#This Row],[Type]]="Sortie",VLOOKUP(Tableau1[[#This Row],[Nr article]],Tableau14[],4,FALSE),"")</f>
        <v>45000</v>
      </c>
    </row>
    <row r="77" spans="2:13" x14ac:dyDescent="0.35">
      <c r="B77" s="4" t="s">
        <v>160</v>
      </c>
      <c r="C77" s="4" t="s">
        <v>310</v>
      </c>
      <c r="D77" s="4" t="s">
        <v>161</v>
      </c>
      <c r="E77" s="4"/>
      <c r="F77" s="4" t="s">
        <v>201</v>
      </c>
      <c r="G77" s="4" t="s">
        <v>50</v>
      </c>
      <c r="H77" s="4">
        <v>12</v>
      </c>
      <c r="I77" s="4">
        <f>IF(Tableau1[Type]="Sortie",COUNTIFS(Tableau1[Type],"Sortie",Tableau1[Nombre],"&gt;"&amp;Tableau1[[#This Row],[Nombre]])+1,"")</f>
        <v>27</v>
      </c>
      <c r="J77" s="4" t="str">
        <f>IF(Tableau1[[#This Row],[Type]]="Entrée",VLOOKUP(Tableau1[[#This Row],[Nr article]],Tableau14[],4,FALSE),"")</f>
        <v/>
      </c>
      <c r="K77" s="22">
        <v>45332.078206018516</v>
      </c>
      <c r="L77" s="22">
        <f ca="1">IF(Tableau1[[#This Row],[Type]]= "Sortie",TODAY(),"")</f>
        <v>45332</v>
      </c>
      <c r="M77" s="4">
        <f>IF(Tableau1[[#This Row],[Type]]="Sortie",VLOOKUP(Tableau1[[#This Row],[Nr article]],Tableau14[],4,FALSE),"")</f>
        <v>7600</v>
      </c>
    </row>
    <row r="78" spans="2:13" x14ac:dyDescent="0.35">
      <c r="B78" s="4" t="s">
        <v>160</v>
      </c>
      <c r="C78" s="4" t="s">
        <v>310</v>
      </c>
      <c r="D78" s="4" t="s">
        <v>161</v>
      </c>
      <c r="E78" s="4"/>
      <c r="F78" s="4" t="s">
        <v>201</v>
      </c>
      <c r="G78" s="4" t="s">
        <v>267</v>
      </c>
      <c r="H78" s="4">
        <v>15</v>
      </c>
      <c r="I78" s="4">
        <f>IF(Tableau1[Type]="Sortie",COUNTIFS(Tableau1[Type],"Sortie",Tableau1[Nombre],"&gt;"&amp;Tableau1[[#This Row],[Nombre]])+1,"")</f>
        <v>18</v>
      </c>
      <c r="J78" s="4" t="str">
        <f>IF(Tableau1[[#This Row],[Type]]="Entrée",VLOOKUP(Tableau1[[#This Row],[Nr article]],Tableau14[],4,FALSE),"")</f>
        <v/>
      </c>
      <c r="K78" s="22">
        <v>45332.078206018516</v>
      </c>
      <c r="L78" s="22">
        <f ca="1">IF(Tableau1[[#This Row],[Type]]= "Sortie",TODAY(),"")</f>
        <v>45332</v>
      </c>
      <c r="M78" s="4">
        <f>IF(Tableau1[[#This Row],[Type]]="Sortie",VLOOKUP(Tableau1[[#This Row],[Nr article]],Tableau14[],4,FALSE),"")</f>
        <v>156000</v>
      </c>
    </row>
    <row r="79" spans="2:13" x14ac:dyDescent="0.35">
      <c r="B79" s="4" t="s">
        <v>160</v>
      </c>
      <c r="C79" s="4" t="s">
        <v>310</v>
      </c>
      <c r="D79" s="4" t="s">
        <v>161</v>
      </c>
      <c r="E79" s="4"/>
      <c r="F79" s="4" t="s">
        <v>201</v>
      </c>
      <c r="G79" s="4" t="s">
        <v>255</v>
      </c>
      <c r="H79" s="4">
        <v>18</v>
      </c>
      <c r="I79" s="4">
        <f>IF(Tableau1[Type]="Sortie",COUNTIFS(Tableau1[Type],"Sortie",Tableau1[Nombre],"&gt;"&amp;Tableau1[[#This Row],[Nombre]])+1,"")</f>
        <v>12</v>
      </c>
      <c r="J79" s="4" t="str">
        <f>IF(Tableau1[[#This Row],[Type]]="Entrée",VLOOKUP(Tableau1[[#This Row],[Nr article]],Tableau14[],4,FALSE),"")</f>
        <v/>
      </c>
      <c r="K79" s="22">
        <v>45332.078206018516</v>
      </c>
      <c r="L79" s="22">
        <f ca="1">IF(Tableau1[[#This Row],[Type]]= "Sortie",TODAY(),"")</f>
        <v>45332</v>
      </c>
      <c r="M79" s="4">
        <f>IF(Tableau1[[#This Row],[Type]]="Sortie",VLOOKUP(Tableau1[[#This Row],[Nr article]],Tableau14[],4,FALSE),"")</f>
        <v>339000</v>
      </c>
    </row>
    <row r="80" spans="2:13" x14ac:dyDescent="0.35">
      <c r="B80" s="4" t="s">
        <v>160</v>
      </c>
      <c r="C80" s="4" t="s">
        <v>310</v>
      </c>
      <c r="D80" s="4" t="s">
        <v>161</v>
      </c>
      <c r="E80" s="4"/>
      <c r="F80" s="4" t="s">
        <v>201</v>
      </c>
      <c r="G80" s="4" t="s">
        <v>258</v>
      </c>
      <c r="H80" s="4">
        <v>13</v>
      </c>
      <c r="I80" s="4">
        <f>IF(Tableau1[Type]="Sortie",COUNTIFS(Tableau1[Type],"Sortie",Tableau1[Nombre],"&gt;"&amp;Tableau1[[#This Row],[Nombre]])+1,"")</f>
        <v>23</v>
      </c>
      <c r="J80" s="4" t="str">
        <f>IF(Tableau1[[#This Row],[Type]]="Entrée",VLOOKUP(Tableau1[[#This Row],[Nr article]],Tableau14[],4,FALSE),"")</f>
        <v/>
      </c>
      <c r="K80" s="22">
        <v>45332.078206018516</v>
      </c>
      <c r="L80" s="22">
        <f ca="1">IF(Tableau1[[#This Row],[Type]]= "Sortie",TODAY(),"")</f>
        <v>45332</v>
      </c>
      <c r="M80" s="4">
        <f>IF(Tableau1[[#This Row],[Type]]="Sortie",VLOOKUP(Tableau1[[#This Row],[Nr article]],Tableau14[],4,FALSE),"")</f>
        <v>4900</v>
      </c>
    </row>
    <row r="81" spans="2:13" x14ac:dyDescent="0.35">
      <c r="B81" s="4" t="s">
        <v>160</v>
      </c>
      <c r="C81" s="4" t="s">
        <v>310</v>
      </c>
      <c r="D81" s="4" t="s">
        <v>161</v>
      </c>
      <c r="E81" s="4"/>
      <c r="F81" s="4" t="s">
        <v>201</v>
      </c>
      <c r="G81" s="4" t="s">
        <v>260</v>
      </c>
      <c r="H81" s="4">
        <v>19</v>
      </c>
      <c r="I81" s="4">
        <f>IF(Tableau1[Type]="Sortie",COUNTIFS(Tableau1[Type],"Sortie",Tableau1[Nombre],"&gt;"&amp;Tableau1[[#This Row],[Nombre]])+1,"")</f>
        <v>6</v>
      </c>
      <c r="J81" s="4" t="str">
        <f>IF(Tableau1[[#This Row],[Type]]="Entrée",VLOOKUP(Tableau1[[#This Row],[Nr article]],Tableau14[],4,FALSE),"")</f>
        <v/>
      </c>
      <c r="K81" s="22">
        <v>45332.078217592592</v>
      </c>
      <c r="L81" s="22">
        <f ca="1">IF(Tableau1[[#This Row],[Type]]= "Sortie",TODAY(),"")</f>
        <v>45332</v>
      </c>
      <c r="M81" s="4">
        <f>IF(Tableau1[[#This Row],[Type]]="Sortie",VLOOKUP(Tableau1[[#This Row],[Nr article]],Tableau14[],4,FALSE),"")</f>
        <v>72900</v>
      </c>
    </row>
    <row r="82" spans="2:13" x14ac:dyDescent="0.35">
      <c r="B82" s="4" t="s">
        <v>160</v>
      </c>
      <c r="C82" s="4" t="s">
        <v>310</v>
      </c>
      <c r="D82" s="4" t="s">
        <v>161</v>
      </c>
      <c r="E82" s="4"/>
      <c r="F82" s="4" t="s">
        <v>201</v>
      </c>
      <c r="G82" s="4" t="s">
        <v>46</v>
      </c>
      <c r="H82" s="4">
        <v>17</v>
      </c>
      <c r="I82" s="4">
        <f>IF(Tableau1[Type]="Sortie",COUNTIFS(Tableau1[Type],"Sortie",Tableau1[Nombre],"&gt;"&amp;Tableau1[[#This Row],[Nombre]])+1,"")</f>
        <v>14</v>
      </c>
      <c r="J82" s="4" t="str">
        <f>IF(Tableau1[[#This Row],[Type]]="Entrée",VLOOKUP(Tableau1[[#This Row],[Nr article]],Tableau14[],4,FALSE),"")</f>
        <v/>
      </c>
      <c r="K82" s="22">
        <v>45332.078217592592</v>
      </c>
      <c r="L82" s="22">
        <f ca="1">IF(Tableau1[[#This Row],[Type]]= "Sortie",TODAY(),"")</f>
        <v>45332</v>
      </c>
      <c r="M82" s="4">
        <f>IF(Tableau1[[#This Row],[Type]]="Sortie",VLOOKUP(Tableau1[[#This Row],[Nr article]],Tableau14[],4,FALSE),"")</f>
        <v>32000</v>
      </c>
    </row>
    <row r="83" spans="2:13" x14ac:dyDescent="0.35">
      <c r="B83" s="4" t="s">
        <v>160</v>
      </c>
      <c r="C83" s="4" t="s">
        <v>309</v>
      </c>
      <c r="D83" s="4" t="s">
        <v>161</v>
      </c>
      <c r="E83" s="4"/>
      <c r="F83" s="4" t="s">
        <v>198</v>
      </c>
      <c r="G83" s="4" t="s">
        <v>31</v>
      </c>
      <c r="H83" s="4">
        <v>12</v>
      </c>
      <c r="I83" s="4">
        <f>IF(Tableau1[Type]="Sortie",COUNTIFS(Tableau1[Type],"Sortie",Tableau1[Nombre],"&gt;"&amp;Tableau1[[#This Row],[Nombre]])+1,"")</f>
        <v>27</v>
      </c>
      <c r="J83" s="4" t="str">
        <f>IF(Tableau1[[#This Row],[Type]]="Entrée",VLOOKUP(Tableau1[[#This Row],[Nr article]],Tableau14[],4,FALSE),"")</f>
        <v/>
      </c>
      <c r="K83" s="22">
        <v>45332.079201388886</v>
      </c>
      <c r="L83" s="22">
        <f ca="1">IF(Tableau1[[#This Row],[Type]]= "Sortie",TODAY(),"")</f>
        <v>45332</v>
      </c>
      <c r="M83" s="4">
        <f>IF(Tableau1[[#This Row],[Type]]="Sortie",VLOOKUP(Tableau1[[#This Row],[Nr article]],Tableau14[],4,FALSE),"")</f>
        <v>9400</v>
      </c>
    </row>
    <row r="84" spans="2:13" x14ac:dyDescent="0.35">
      <c r="B84" s="4" t="s">
        <v>160</v>
      </c>
      <c r="C84" s="4" t="s">
        <v>309</v>
      </c>
      <c r="D84" s="4" t="s">
        <v>161</v>
      </c>
      <c r="E84" s="4"/>
      <c r="F84" s="4" t="s">
        <v>198</v>
      </c>
      <c r="G84" s="4" t="s">
        <v>44</v>
      </c>
      <c r="H84" s="4">
        <v>19</v>
      </c>
      <c r="I84" s="4">
        <f>IF(Tableau1[Type]="Sortie",COUNTIFS(Tableau1[Type],"Sortie",Tableau1[Nombre],"&gt;"&amp;Tableau1[[#This Row],[Nombre]])+1,"")</f>
        <v>6</v>
      </c>
      <c r="J84" s="4" t="str">
        <f>IF(Tableau1[[#This Row],[Type]]="Entrée",VLOOKUP(Tableau1[[#This Row],[Nr article]],Tableau14[],4,FALSE),"")</f>
        <v/>
      </c>
      <c r="K84" s="22">
        <v>45332.079201388886</v>
      </c>
      <c r="L84" s="22">
        <f ca="1">IF(Tableau1[[#This Row],[Type]]= "Sortie",TODAY(),"")</f>
        <v>45332</v>
      </c>
      <c r="M84" s="4">
        <f>IF(Tableau1[[#This Row],[Type]]="Sortie",VLOOKUP(Tableau1[[#This Row],[Nr article]],Tableau14[],4,FALSE),"")</f>
        <v>45000</v>
      </c>
    </row>
    <row r="85" spans="2:13" x14ac:dyDescent="0.35">
      <c r="B85" s="4" t="s">
        <v>160</v>
      </c>
      <c r="C85" s="4" t="s">
        <v>309</v>
      </c>
      <c r="D85" s="4" t="s">
        <v>161</v>
      </c>
      <c r="E85" s="4"/>
      <c r="F85" s="4" t="s">
        <v>198</v>
      </c>
      <c r="G85" s="4" t="s">
        <v>50</v>
      </c>
      <c r="H85" s="4">
        <v>19</v>
      </c>
      <c r="I85" s="4">
        <f>IF(Tableau1[Type]="Sortie",COUNTIFS(Tableau1[Type],"Sortie",Tableau1[Nombre],"&gt;"&amp;Tableau1[[#This Row],[Nombre]])+1,"")</f>
        <v>6</v>
      </c>
      <c r="J85" s="4" t="str">
        <f>IF(Tableau1[[#This Row],[Type]]="Entrée",VLOOKUP(Tableau1[[#This Row],[Nr article]],Tableau14[],4,FALSE),"")</f>
        <v/>
      </c>
      <c r="K85" s="22">
        <v>45332.079201388886</v>
      </c>
      <c r="L85" s="22">
        <f ca="1">IF(Tableau1[[#This Row],[Type]]= "Sortie",TODAY(),"")</f>
        <v>45332</v>
      </c>
      <c r="M85" s="4">
        <f>IF(Tableau1[[#This Row],[Type]]="Sortie",VLOOKUP(Tableau1[[#This Row],[Nr article]],Tableau14[],4,FALSE),"")</f>
        <v>7600</v>
      </c>
    </row>
    <row r="86" spans="2:13" x14ac:dyDescent="0.35">
      <c r="B86" s="4" t="s">
        <v>160</v>
      </c>
      <c r="C86" s="4" t="s">
        <v>309</v>
      </c>
      <c r="D86" s="4" t="s">
        <v>161</v>
      </c>
      <c r="E86" s="4"/>
      <c r="F86" s="4" t="s">
        <v>198</v>
      </c>
      <c r="G86" s="4" t="s">
        <v>40</v>
      </c>
      <c r="H86" s="4">
        <v>13</v>
      </c>
      <c r="I86" s="4">
        <f>IF(Tableau1[Type]="Sortie",COUNTIFS(Tableau1[Type],"Sortie",Tableau1[Nombre],"&gt;"&amp;Tableau1[[#This Row],[Nombre]])+1,"")</f>
        <v>23</v>
      </c>
      <c r="J86" s="4" t="str">
        <f>IF(Tableau1[[#This Row],[Type]]="Entrée",VLOOKUP(Tableau1[[#This Row],[Nr article]],Tableau14[],4,FALSE),"")</f>
        <v/>
      </c>
      <c r="K86" s="22">
        <v>45332.079201388886</v>
      </c>
      <c r="L86" s="22">
        <f ca="1">IF(Tableau1[[#This Row],[Type]]= "Sortie",TODAY(),"")</f>
        <v>45332</v>
      </c>
      <c r="M86" s="4">
        <f>IF(Tableau1[[#This Row],[Type]]="Sortie",VLOOKUP(Tableau1[[#This Row],[Nr article]],Tableau14[],4,FALSE),"")</f>
        <v>3900</v>
      </c>
    </row>
    <row r="87" spans="2:13" x14ac:dyDescent="0.35">
      <c r="B87" s="4" t="s">
        <v>160</v>
      </c>
      <c r="C87" s="4" t="s">
        <v>309</v>
      </c>
      <c r="D87" s="4" t="s">
        <v>161</v>
      </c>
      <c r="E87" s="4"/>
      <c r="F87" s="4" t="s">
        <v>198</v>
      </c>
      <c r="G87" s="4" t="s">
        <v>40</v>
      </c>
      <c r="H87" s="4">
        <v>5</v>
      </c>
      <c r="I87" s="4">
        <f>IF(Tableau1[Type]="Sortie",COUNTIFS(Tableau1[Type],"Sortie",Tableau1[Nombre],"&gt;"&amp;Tableau1[[#This Row],[Nombre]])+1,"")</f>
        <v>37</v>
      </c>
      <c r="J87" s="4" t="str">
        <f>IF(Tableau1[[#This Row],[Type]]="Entrée",VLOOKUP(Tableau1[[#This Row],[Nr article]],Tableau14[],4,FALSE),"")</f>
        <v/>
      </c>
      <c r="K87" s="22">
        <v>45332.079212962963</v>
      </c>
      <c r="L87" s="22">
        <f ca="1">IF(Tableau1[[#This Row],[Type]]= "Sortie",TODAY(),"")</f>
        <v>45332</v>
      </c>
      <c r="M87" s="4">
        <f>IF(Tableau1[[#This Row],[Type]]="Sortie",VLOOKUP(Tableau1[[#This Row],[Nr article]],Tableau14[],4,FALSE),"")</f>
        <v>3900</v>
      </c>
    </row>
    <row r="88" spans="2:13" x14ac:dyDescent="0.35">
      <c r="B88" s="4" t="s">
        <v>160</v>
      </c>
      <c r="C88" s="4" t="s">
        <v>309</v>
      </c>
      <c r="D88" s="4" t="s">
        <v>161</v>
      </c>
      <c r="E88" s="4"/>
      <c r="F88" s="4" t="s">
        <v>198</v>
      </c>
      <c r="G88" s="4" t="s">
        <v>43</v>
      </c>
      <c r="H88" s="4">
        <v>14</v>
      </c>
      <c r="I88" s="4">
        <f>IF(Tableau1[Type]="Sortie",COUNTIFS(Tableau1[Type],"Sortie",Tableau1[Nombre],"&gt;"&amp;Tableau1[[#This Row],[Nombre]])+1,"")</f>
        <v>20</v>
      </c>
      <c r="J88" s="4" t="str">
        <f>IF(Tableau1[[#This Row],[Type]]="Entrée",VLOOKUP(Tableau1[[#This Row],[Nr article]],Tableau14[],4,FALSE),"")</f>
        <v/>
      </c>
      <c r="K88" s="22">
        <v>45332.079212962963</v>
      </c>
      <c r="L88" s="22">
        <f ca="1">IF(Tableau1[[#This Row],[Type]]= "Sortie",TODAY(),"")</f>
        <v>45332</v>
      </c>
      <c r="M88" s="4">
        <f>IF(Tableau1[[#This Row],[Type]]="Sortie",VLOOKUP(Tableau1[[#This Row],[Nr article]],Tableau14[],4,FALSE),"")</f>
        <v>129000</v>
      </c>
    </row>
    <row r="89" spans="2:13" x14ac:dyDescent="0.35">
      <c r="B89" s="4" t="s">
        <v>160</v>
      </c>
      <c r="C89" s="4" t="s">
        <v>309</v>
      </c>
      <c r="D89" s="4" t="s">
        <v>161</v>
      </c>
      <c r="E89" s="4"/>
      <c r="F89" s="4" t="s">
        <v>198</v>
      </c>
      <c r="G89" s="4" t="s">
        <v>256</v>
      </c>
      <c r="H89" s="4">
        <v>10</v>
      </c>
      <c r="I89" s="4">
        <f>IF(Tableau1[Type]="Sortie",COUNTIFS(Tableau1[Type],"Sortie",Tableau1[Nombre],"&gt;"&amp;Tableau1[[#This Row],[Nombre]])+1,"")</f>
        <v>33</v>
      </c>
      <c r="J89" s="4" t="str">
        <f>IF(Tableau1[[#This Row],[Type]]="Entrée",VLOOKUP(Tableau1[[#This Row],[Nr article]],Tableau14[],4,FALSE),"")</f>
        <v/>
      </c>
      <c r="K89" s="22">
        <v>45332.079212962963</v>
      </c>
      <c r="L89" s="22">
        <f ca="1">IF(Tableau1[[#This Row],[Type]]= "Sortie",TODAY(),"")</f>
        <v>45332</v>
      </c>
      <c r="M89" s="4">
        <f>IF(Tableau1[[#This Row],[Type]]="Sortie",VLOOKUP(Tableau1[[#This Row],[Nr article]],Tableau14[],4,FALSE),"")</f>
        <v>127000</v>
      </c>
    </row>
    <row r="90" spans="2:13" x14ac:dyDescent="0.35">
      <c r="B90" s="4" t="s">
        <v>160</v>
      </c>
      <c r="C90" s="4" t="s">
        <v>309</v>
      </c>
      <c r="D90" s="4" t="s">
        <v>161</v>
      </c>
      <c r="E90" s="4"/>
      <c r="F90" s="4" t="s">
        <v>199</v>
      </c>
      <c r="G90" s="4" t="s">
        <v>42</v>
      </c>
      <c r="H90" s="4">
        <v>12</v>
      </c>
      <c r="I90" s="4">
        <f>IF(Tableau1[Type]="Sortie",COUNTIFS(Tableau1[Type],"Sortie",Tableau1[Nombre],"&gt;"&amp;Tableau1[[#This Row],[Nombre]])+1,"")</f>
        <v>27</v>
      </c>
      <c r="J90" s="4" t="str">
        <f>IF(Tableau1[[#This Row],[Type]]="Entrée",VLOOKUP(Tableau1[[#This Row],[Nr article]],Tableau14[],4,FALSE),"")</f>
        <v/>
      </c>
      <c r="K90" s="22">
        <v>45332.081145833334</v>
      </c>
      <c r="L90" s="22">
        <f ca="1">IF(Tableau1[[#This Row],[Type]]= "Sortie",TODAY(),"")</f>
        <v>45332</v>
      </c>
      <c r="M90" s="4">
        <f>IF(Tableau1[[#This Row],[Type]]="Sortie",VLOOKUP(Tableau1[[#This Row],[Nr article]],Tableau14[],4,FALSE),"")</f>
        <v>12900</v>
      </c>
    </row>
    <row r="91" spans="2:13" x14ac:dyDescent="0.35">
      <c r="B91" s="4" t="s">
        <v>160</v>
      </c>
      <c r="C91" s="4" t="s">
        <v>309</v>
      </c>
      <c r="D91" s="4" t="s">
        <v>161</v>
      </c>
      <c r="E91" s="4"/>
      <c r="F91" s="4" t="s">
        <v>199</v>
      </c>
      <c r="G91" s="4" t="s">
        <v>41</v>
      </c>
      <c r="H91" s="4">
        <v>19</v>
      </c>
      <c r="I91" s="4">
        <f>IF(Tableau1[Type]="Sortie",COUNTIFS(Tableau1[Type],"Sortie",Tableau1[Nombre],"&gt;"&amp;Tableau1[[#This Row],[Nombre]])+1,"")</f>
        <v>6</v>
      </c>
      <c r="J91" s="4" t="str">
        <f>IF(Tableau1[[#This Row],[Type]]="Entrée",VLOOKUP(Tableau1[[#This Row],[Nr article]],Tableau14[],4,FALSE),"")</f>
        <v/>
      </c>
      <c r="K91" s="22">
        <v>45332.081157407411</v>
      </c>
      <c r="L91" s="22">
        <f ca="1">IF(Tableau1[[#This Row],[Type]]= "Sortie",TODAY(),"")</f>
        <v>45332</v>
      </c>
      <c r="M91" s="4">
        <f>IF(Tableau1[[#This Row],[Type]]="Sortie",VLOOKUP(Tableau1[[#This Row],[Nr article]],Tableau14[],4,FALSE),"")</f>
        <v>3900</v>
      </c>
    </row>
    <row r="92" spans="2:13" x14ac:dyDescent="0.35">
      <c r="B92" s="4" t="s">
        <v>160</v>
      </c>
      <c r="C92" s="4" t="s">
        <v>309</v>
      </c>
      <c r="D92" s="4" t="s">
        <v>161</v>
      </c>
      <c r="E92" s="4"/>
      <c r="F92" s="4" t="s">
        <v>199</v>
      </c>
      <c r="G92" s="4" t="s">
        <v>38</v>
      </c>
      <c r="H92" s="4">
        <v>14</v>
      </c>
      <c r="I92" s="4">
        <f>IF(Tableau1[Type]="Sortie",COUNTIFS(Tableau1[Type],"Sortie",Tableau1[Nombre],"&gt;"&amp;Tableau1[[#This Row],[Nombre]])+1,"")</f>
        <v>20</v>
      </c>
      <c r="J92" s="4" t="str">
        <f>IF(Tableau1[[#This Row],[Type]]="Entrée",VLOOKUP(Tableau1[[#This Row],[Nr article]],Tableau14[],4,FALSE),"")</f>
        <v/>
      </c>
      <c r="K92" s="22">
        <v>45332.081157407411</v>
      </c>
      <c r="L92" s="22">
        <f ca="1">IF(Tableau1[[#This Row],[Type]]= "Sortie",TODAY(),"")</f>
        <v>45332</v>
      </c>
      <c r="M92" s="4">
        <f>IF(Tableau1[[#This Row],[Type]]="Sortie",VLOOKUP(Tableau1[[#This Row],[Nr article]],Tableau14[],4,FALSE),"")</f>
        <v>18900</v>
      </c>
    </row>
    <row r="93" spans="2:13" x14ac:dyDescent="0.35">
      <c r="B93" s="4" t="s">
        <v>160</v>
      </c>
      <c r="C93" s="4" t="s">
        <v>309</v>
      </c>
      <c r="D93" s="4" t="s">
        <v>161</v>
      </c>
      <c r="E93" s="4"/>
      <c r="F93" s="4" t="s">
        <v>199</v>
      </c>
      <c r="G93" s="4" t="s">
        <v>260</v>
      </c>
      <c r="H93" s="4">
        <v>19</v>
      </c>
      <c r="I93" s="4">
        <f>IF(Tableau1[Type]="Sortie",COUNTIFS(Tableau1[Type],"Sortie",Tableau1[Nombre],"&gt;"&amp;Tableau1[[#This Row],[Nombre]])+1,"")</f>
        <v>6</v>
      </c>
      <c r="J93" s="4" t="str">
        <f>IF(Tableau1[[#This Row],[Type]]="Entrée",VLOOKUP(Tableau1[[#This Row],[Nr article]],Tableau14[],4,FALSE),"")</f>
        <v/>
      </c>
      <c r="K93" s="22">
        <v>45332.081157407411</v>
      </c>
      <c r="L93" s="22">
        <f ca="1">IF(Tableau1[[#This Row],[Type]]= "Sortie",TODAY(),"")</f>
        <v>45332</v>
      </c>
      <c r="M93" s="4">
        <f>IF(Tableau1[[#This Row],[Type]]="Sortie",VLOOKUP(Tableau1[[#This Row],[Nr article]],Tableau14[],4,FALSE),"")</f>
        <v>72900</v>
      </c>
    </row>
    <row r="94" spans="2:13" x14ac:dyDescent="0.35">
      <c r="B94" s="4" t="s">
        <v>160</v>
      </c>
      <c r="C94" s="4" t="s">
        <v>309</v>
      </c>
      <c r="D94" s="4" t="s">
        <v>161</v>
      </c>
      <c r="E94" s="4"/>
      <c r="F94" s="4" t="s">
        <v>199</v>
      </c>
      <c r="G94" s="4" t="s">
        <v>254</v>
      </c>
      <c r="H94" s="4">
        <v>10</v>
      </c>
      <c r="I94" s="4">
        <f>IF(Tableau1[Type]="Sortie",COUNTIFS(Tableau1[Type],"Sortie",Tableau1[Nombre],"&gt;"&amp;Tableau1[[#This Row],[Nombre]])+1,"")</f>
        <v>33</v>
      </c>
      <c r="J94" s="4" t="str">
        <f>IF(Tableau1[[#This Row],[Type]]="Entrée",VLOOKUP(Tableau1[[#This Row],[Nr article]],Tableau14[],4,FALSE),"")</f>
        <v/>
      </c>
      <c r="K94" s="22">
        <v>45332.081157407411</v>
      </c>
      <c r="L94" s="22">
        <f ca="1">IF(Tableau1[[#This Row],[Type]]= "Sortie",TODAY(),"")</f>
        <v>45332</v>
      </c>
      <c r="M94" s="4">
        <f>IF(Tableau1[[#This Row],[Type]]="Sortie",VLOOKUP(Tableau1[[#This Row],[Nr article]],Tableau14[],4,FALSE),"")</f>
        <v>12800</v>
      </c>
    </row>
    <row r="95" spans="2:13" x14ac:dyDescent="0.35">
      <c r="B95" s="4" t="s">
        <v>160</v>
      </c>
      <c r="C95" s="4" t="s">
        <v>315</v>
      </c>
      <c r="D95" s="4" t="s">
        <v>161</v>
      </c>
      <c r="E95" s="4"/>
      <c r="F95" s="4" t="s">
        <v>198</v>
      </c>
      <c r="G95" s="4" t="s">
        <v>41</v>
      </c>
      <c r="H95" s="4">
        <v>2</v>
      </c>
      <c r="I95" s="4">
        <f>IF(Tableau1[Type]="Sortie",COUNTIFS(Tableau1[Type],"Sortie",Tableau1[Nombre],"&gt;"&amp;Tableau1[[#This Row],[Nombre]])+1,"")</f>
        <v>38</v>
      </c>
      <c r="J95" s="4" t="str">
        <f>IF(Tableau1[[#This Row],[Type]]="Entrée",VLOOKUP(Tableau1[[#This Row],[Nr article]],Tableau14[],4,FALSE),"")</f>
        <v/>
      </c>
      <c r="K95" s="22">
        <v>45332.101099537038</v>
      </c>
      <c r="L95" s="22">
        <f ca="1">IF(Tableau1[[#This Row],[Type]]= "Sortie",TODAY(),"")</f>
        <v>45332</v>
      </c>
      <c r="M95" s="4">
        <f>IF(Tableau1[[#This Row],[Type]]="Sortie",VLOOKUP(Tableau1[[#This Row],[Nr article]],Tableau14[],4,FALSE),"")</f>
        <v>3900</v>
      </c>
    </row>
    <row r="96" spans="2:13" x14ac:dyDescent="0.35">
      <c r="B96" s="4" t="s">
        <v>159</v>
      </c>
      <c r="C96" s="4" t="s">
        <v>327</v>
      </c>
      <c r="D96" s="4" t="s">
        <v>91</v>
      </c>
      <c r="E96" s="4" t="s">
        <v>167</v>
      </c>
      <c r="F96" s="4"/>
      <c r="G96" s="4" t="s">
        <v>43</v>
      </c>
      <c r="H96" s="4">
        <v>50</v>
      </c>
      <c r="I96" s="4" t="str">
        <f>IF(Tableau1[Type]="Sortie",COUNTIFS(Tableau1[Type],"Sortie",Tableau1[Nombre],"&gt;"&amp;Tableau1[[#This Row],[Nombre]])+1,"")</f>
        <v/>
      </c>
      <c r="J96" s="4">
        <f>IF(Tableau1[[#This Row],[Type]]="Entrée",VLOOKUP(Tableau1[[#This Row],[Nr article]],Tableau14[],4,FALSE),"")</f>
        <v>129000</v>
      </c>
      <c r="K96" s="22">
        <v>45332.291435185187</v>
      </c>
      <c r="L96" s="22" t="str">
        <f ca="1">IF(Tableau1[[#This Row],[Type]]= "Sortie",TODAY(),"")</f>
        <v/>
      </c>
      <c r="M96" s="4" t="str">
        <f>IF(Tableau1[[#This Row],[Type]]="Sortie",VLOOKUP(Tableau1[[#This Row],[Nr article]],Tableau14[],4,FALSE),"")</f>
        <v/>
      </c>
    </row>
    <row r="97" spans="2:13" x14ac:dyDescent="0.35">
      <c r="B97" s="4" t="s">
        <v>159</v>
      </c>
      <c r="C97" s="4" t="s">
        <v>328</v>
      </c>
      <c r="D97" s="4" t="s">
        <v>100</v>
      </c>
      <c r="E97" s="4" t="s">
        <v>170</v>
      </c>
      <c r="F97" s="4"/>
      <c r="G97" s="4" t="s">
        <v>44</v>
      </c>
      <c r="H97" s="4">
        <v>50</v>
      </c>
      <c r="I97" s="4" t="str">
        <f>IF(Tableau1[Type]="Sortie",COUNTIFS(Tableau1[Type],"Sortie",Tableau1[Nombre],"&gt;"&amp;Tableau1[[#This Row],[Nombre]])+1,"")</f>
        <v/>
      </c>
      <c r="J97" s="4">
        <f>IF(Tableau1[[#This Row],[Type]]="Entrée",VLOOKUP(Tableau1[[#This Row],[Nr article]],Tableau14[],4,FALSE),"")</f>
        <v>45000</v>
      </c>
      <c r="K97" s="22">
        <v>45332.292141203703</v>
      </c>
      <c r="L97" s="22" t="str">
        <f ca="1">IF(Tableau1[[#This Row],[Type]]= "Sortie",TODAY(),"")</f>
        <v/>
      </c>
      <c r="M97" s="4" t="str">
        <f>IF(Tableau1[[#This Row],[Type]]="Sortie",VLOOKUP(Tableau1[[#This Row],[Nr article]],Tableau14[],4,FALSE),"")</f>
        <v/>
      </c>
    </row>
    <row r="98" spans="2:13" x14ac:dyDescent="0.35">
      <c r="B98" s="4" t="s">
        <v>159</v>
      </c>
      <c r="C98" s="4" t="s">
        <v>329</v>
      </c>
      <c r="D98" s="4" t="s">
        <v>161</v>
      </c>
      <c r="E98" s="4" t="s">
        <v>167</v>
      </c>
      <c r="F98" s="4"/>
      <c r="G98" s="4" t="s">
        <v>41</v>
      </c>
      <c r="H98" s="4">
        <v>12</v>
      </c>
      <c r="I98" s="4" t="str">
        <f>IF(Tableau1[Type]="Sortie",COUNTIFS(Tableau1[Type],"Sortie",Tableau1[Nombre],"&gt;"&amp;Tableau1[[#This Row],[Nombre]])+1,"")</f>
        <v/>
      </c>
      <c r="J98" s="4">
        <f>IF(Tableau1[[#This Row],[Type]]="Entrée",VLOOKUP(Tableau1[[#This Row],[Nr article]],Tableau14[],4,FALSE),"")</f>
        <v>3900</v>
      </c>
      <c r="K98" s="62">
        <v>45332.296516203707</v>
      </c>
      <c r="L98" s="62" t="str">
        <f ca="1">IF(Tableau1[[#This Row],[Type]]= "Sortie",TODAY(),"")</f>
        <v/>
      </c>
      <c r="M98" s="4" t="str">
        <f>IF(Tableau1[[#This Row],[Type]]="Sortie",VLOOKUP(Tableau1[[#This Row],[Nr article]],Tableau14[],4,FALSE),"")</f>
        <v/>
      </c>
    </row>
    <row r="99" spans="2:13" x14ac:dyDescent="0.35">
      <c r="B99" s="4" t="s">
        <v>160</v>
      </c>
      <c r="C99" s="4" t="s">
        <v>336</v>
      </c>
      <c r="D99" s="4" t="s">
        <v>161</v>
      </c>
      <c r="E99" s="4"/>
      <c r="F99" s="4" t="s">
        <v>198</v>
      </c>
      <c r="G99" s="4" t="s">
        <v>44</v>
      </c>
      <c r="H99" s="4">
        <v>13</v>
      </c>
      <c r="I99" s="4">
        <f>IF(Tableau1[Type]="Sortie",COUNTIFS(Tableau1[Type],"Sortie",Tableau1[Nombre],"&gt;"&amp;Tableau1[[#This Row],[Nombre]])+1,"")</f>
        <v>23</v>
      </c>
      <c r="J99" s="4" t="str">
        <f>IF(Tableau1[[#This Row],[Type]]="Entrée",VLOOKUP(Tableau1[[#This Row],[Nr article]],Tableau14[],4,FALSE),"")</f>
        <v/>
      </c>
      <c r="K99" s="62">
        <v>45332.372337962966</v>
      </c>
      <c r="L99" s="62">
        <f ca="1">IF(Tableau1[[#This Row],[Type]]= "Sortie",TODAY(),"")</f>
        <v>45332</v>
      </c>
      <c r="M99" s="4">
        <f>IF(Tableau1[[#This Row],[Type]]="Sortie",VLOOKUP(Tableau1[[#This Row],[Nr article]],Tableau14[],4,FALSE),"")</f>
        <v>45000</v>
      </c>
    </row>
  </sheetData>
  <dataValidations count="1">
    <dataValidation type="list" allowBlank="1" showInputMessage="1" showErrorMessage="1" sqref="B6:B99" xr:uid="{FE60A878-D1D3-49D4-A8D3-6DCB7974D19C}">
      <formula1>"Entree,Sortie"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9" r:id="rId3" name="Button 9">
              <controlPr defaultSize="0" print="0" autoFill="0" autoPict="0" macro="[0]!Bouton9_Cliquer">
                <anchor moveWithCells="1" sizeWithCells="1">
                  <from>
                    <xdr:col>1</xdr:col>
                    <xdr:colOff>0</xdr:colOff>
                    <xdr:row>2</xdr:row>
                    <xdr:rowOff>146050</xdr:rowOff>
                  </from>
                  <to>
                    <xdr:col>2</xdr:col>
                    <xdr:colOff>0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A8DC4-A94C-473A-8F58-3FCD881106D9}">
  <sheetPr codeName="Feuil16"/>
  <dimension ref="B1:I20"/>
  <sheetViews>
    <sheetView showGridLines="0" workbookViewId="0">
      <selection activeCell="C3" sqref="C3"/>
    </sheetView>
  </sheetViews>
  <sheetFormatPr baseColWidth="10" defaultRowHeight="14.5" x14ac:dyDescent="0.35"/>
  <cols>
    <col min="2" max="2" width="19.6328125" bestFit="1" customWidth="1"/>
    <col min="3" max="3" width="13.26953125" customWidth="1"/>
    <col min="4" max="4" width="12.7265625" customWidth="1"/>
    <col min="5" max="5" width="12.7265625" bestFit="1" customWidth="1"/>
    <col min="7" max="7" width="11.6328125" customWidth="1"/>
    <col min="8" max="8" width="19.453125" bestFit="1" customWidth="1"/>
    <col min="9" max="9" width="15.54296875" bestFit="1" customWidth="1"/>
    <col min="10" max="10" width="13.1796875" customWidth="1"/>
  </cols>
  <sheetData>
    <row r="1" spans="2:9" ht="39.5" customHeight="1" x14ac:dyDescent="0.35"/>
    <row r="5" spans="2:9" x14ac:dyDescent="0.35">
      <c r="B5" s="35" t="s">
        <v>20</v>
      </c>
      <c r="C5" s="36" t="s">
        <v>51</v>
      </c>
      <c r="D5" s="36" t="s">
        <v>52</v>
      </c>
      <c r="E5" s="36" t="s">
        <v>53</v>
      </c>
      <c r="F5" s="36" t="s">
        <v>54</v>
      </c>
      <c r="G5" s="36" t="s">
        <v>55</v>
      </c>
      <c r="H5" s="36" t="s">
        <v>56</v>
      </c>
      <c r="I5" s="37" t="s">
        <v>57</v>
      </c>
    </row>
    <row r="6" spans="2:9" x14ac:dyDescent="0.35">
      <c r="B6" t="s">
        <v>165</v>
      </c>
      <c r="C6" t="s">
        <v>58</v>
      </c>
      <c r="D6">
        <v>1000</v>
      </c>
      <c r="E6" t="s">
        <v>73</v>
      </c>
      <c r="F6" t="s">
        <v>74</v>
      </c>
      <c r="G6" t="s">
        <v>75</v>
      </c>
      <c r="H6" s="10" t="s">
        <v>277</v>
      </c>
      <c r="I6" t="str">
        <f>CONCATENATE(LEFT(E6,2),"-",D6,",",F6)</f>
        <v>Da-1000,Sénégal</v>
      </c>
    </row>
    <row r="7" spans="2:9" x14ac:dyDescent="0.35">
      <c r="B7" t="s">
        <v>166</v>
      </c>
      <c r="C7" t="s">
        <v>59</v>
      </c>
      <c r="D7">
        <v>1001</v>
      </c>
      <c r="E7" t="s">
        <v>180</v>
      </c>
      <c r="F7" t="s">
        <v>74</v>
      </c>
      <c r="G7" t="s">
        <v>76</v>
      </c>
      <c r="H7" s="10" t="s">
        <v>277</v>
      </c>
      <c r="I7" t="str">
        <f t="shared" ref="I7:I20" si="0">CONCATENATE(LEFT(E7,2),"-",D7,",",F7)</f>
        <v>Th-1001,Sénégal</v>
      </c>
    </row>
    <row r="8" spans="2:9" x14ac:dyDescent="0.35">
      <c r="B8" t="s">
        <v>167</v>
      </c>
      <c r="C8" t="s">
        <v>60</v>
      </c>
      <c r="D8">
        <v>1002</v>
      </c>
      <c r="E8" t="s">
        <v>181</v>
      </c>
      <c r="F8" t="s">
        <v>74</v>
      </c>
      <c r="G8" t="s">
        <v>77</v>
      </c>
      <c r="H8" s="10" t="s">
        <v>277</v>
      </c>
      <c r="I8" t="str">
        <f t="shared" si="0"/>
        <v>Sa-1002,Sénégal</v>
      </c>
    </row>
    <row r="9" spans="2:9" x14ac:dyDescent="0.35">
      <c r="B9" t="s">
        <v>168</v>
      </c>
      <c r="C9" t="s">
        <v>61</v>
      </c>
      <c r="D9">
        <v>1003</v>
      </c>
      <c r="E9" t="s">
        <v>182</v>
      </c>
      <c r="F9" t="s">
        <v>74</v>
      </c>
      <c r="G9" t="s">
        <v>78</v>
      </c>
      <c r="H9" s="10" t="s">
        <v>277</v>
      </c>
      <c r="I9" t="str">
        <f t="shared" si="0"/>
        <v>Di-1003,Sénégal</v>
      </c>
    </row>
    <row r="10" spans="2:9" x14ac:dyDescent="0.35">
      <c r="B10" t="s">
        <v>169</v>
      </c>
      <c r="C10" t="s">
        <v>62</v>
      </c>
      <c r="D10">
        <v>1004</v>
      </c>
      <c r="E10" t="s">
        <v>183</v>
      </c>
      <c r="F10" t="s">
        <v>74</v>
      </c>
      <c r="G10" t="s">
        <v>79</v>
      </c>
      <c r="H10" s="10" t="s">
        <v>277</v>
      </c>
      <c r="I10" t="str">
        <f t="shared" si="0"/>
        <v>Fa-1004,Sénégal</v>
      </c>
    </row>
    <row r="11" spans="2:9" x14ac:dyDescent="0.35">
      <c r="B11" t="s">
        <v>170</v>
      </c>
      <c r="C11" t="s">
        <v>63</v>
      </c>
      <c r="D11">
        <v>1005</v>
      </c>
      <c r="E11" t="s">
        <v>184</v>
      </c>
      <c r="F11" t="s">
        <v>74</v>
      </c>
      <c r="G11" t="s">
        <v>80</v>
      </c>
      <c r="H11" s="10" t="s">
        <v>277</v>
      </c>
      <c r="I11" t="str">
        <f t="shared" si="0"/>
        <v>Ta-1005,Sénégal</v>
      </c>
    </row>
    <row r="12" spans="2:9" x14ac:dyDescent="0.35">
      <c r="B12" t="s">
        <v>171</v>
      </c>
      <c r="C12" t="s">
        <v>64</v>
      </c>
      <c r="D12">
        <v>1006</v>
      </c>
      <c r="E12" t="s">
        <v>185</v>
      </c>
      <c r="F12" t="s">
        <v>74</v>
      </c>
      <c r="G12" t="s">
        <v>81</v>
      </c>
      <c r="H12" s="10" t="s">
        <v>277</v>
      </c>
      <c r="I12" t="str">
        <f t="shared" si="0"/>
        <v>Mb-1006,Sénégal</v>
      </c>
    </row>
    <row r="13" spans="2:9" x14ac:dyDescent="0.35">
      <c r="B13" t="s">
        <v>172</v>
      </c>
      <c r="C13" t="s">
        <v>65</v>
      </c>
      <c r="D13">
        <v>1007</v>
      </c>
      <c r="E13" t="s">
        <v>180</v>
      </c>
      <c r="F13" t="s">
        <v>74</v>
      </c>
      <c r="G13" t="s">
        <v>82</v>
      </c>
      <c r="H13" s="10" t="s">
        <v>277</v>
      </c>
      <c r="I13" t="str">
        <f t="shared" si="0"/>
        <v>Th-1007,Sénégal</v>
      </c>
    </row>
    <row r="14" spans="2:9" x14ac:dyDescent="0.35">
      <c r="B14" t="s">
        <v>173</v>
      </c>
      <c r="C14" t="s">
        <v>66</v>
      </c>
      <c r="D14">
        <v>1008</v>
      </c>
      <c r="E14" t="s">
        <v>185</v>
      </c>
      <c r="F14" t="s">
        <v>74</v>
      </c>
      <c r="G14" t="s">
        <v>83</v>
      </c>
      <c r="H14" s="10" t="s">
        <v>277</v>
      </c>
      <c r="I14" t="str">
        <f t="shared" si="0"/>
        <v>Mb-1008,Sénégal</v>
      </c>
    </row>
    <row r="15" spans="2:9" x14ac:dyDescent="0.35">
      <c r="B15" t="s">
        <v>174</v>
      </c>
      <c r="C15" t="s">
        <v>67</v>
      </c>
      <c r="D15">
        <v>1009</v>
      </c>
      <c r="E15" t="s">
        <v>184</v>
      </c>
      <c r="F15" t="s">
        <v>74</v>
      </c>
      <c r="G15" t="s">
        <v>84</v>
      </c>
      <c r="H15" s="10" t="s">
        <v>277</v>
      </c>
      <c r="I15" t="str">
        <f t="shared" si="0"/>
        <v>Ta-1009,Sénégal</v>
      </c>
    </row>
    <row r="16" spans="2:9" x14ac:dyDescent="0.35">
      <c r="B16" t="s">
        <v>175</v>
      </c>
      <c r="C16" t="s">
        <v>68</v>
      </c>
      <c r="D16">
        <v>1010</v>
      </c>
      <c r="E16" t="s">
        <v>183</v>
      </c>
      <c r="F16" t="s">
        <v>74</v>
      </c>
      <c r="G16" t="s">
        <v>85</v>
      </c>
      <c r="H16" s="10" t="s">
        <v>277</v>
      </c>
      <c r="I16" t="str">
        <f t="shared" si="0"/>
        <v>Fa-1010,Sénégal</v>
      </c>
    </row>
    <row r="17" spans="2:9" x14ac:dyDescent="0.35">
      <c r="B17" t="s">
        <v>176</v>
      </c>
      <c r="C17" t="s">
        <v>69</v>
      </c>
      <c r="D17">
        <v>1011</v>
      </c>
      <c r="E17" t="s">
        <v>182</v>
      </c>
      <c r="F17" t="s">
        <v>74</v>
      </c>
      <c r="G17" t="s">
        <v>86</v>
      </c>
      <c r="H17" s="10" t="s">
        <v>277</v>
      </c>
      <c r="I17" t="str">
        <f t="shared" si="0"/>
        <v>Di-1011,Sénégal</v>
      </c>
    </row>
    <row r="18" spans="2:9" x14ac:dyDescent="0.35">
      <c r="B18" t="s">
        <v>177</v>
      </c>
      <c r="C18" t="s">
        <v>70</v>
      </c>
      <c r="D18">
        <v>1012</v>
      </c>
      <c r="E18" t="s">
        <v>181</v>
      </c>
      <c r="F18" t="s">
        <v>74</v>
      </c>
      <c r="G18" t="s">
        <v>87</v>
      </c>
      <c r="H18" s="10" t="s">
        <v>277</v>
      </c>
      <c r="I18" t="str">
        <f t="shared" si="0"/>
        <v>Sa-1012,Sénégal</v>
      </c>
    </row>
    <row r="19" spans="2:9" x14ac:dyDescent="0.35">
      <c r="B19" t="s">
        <v>178</v>
      </c>
      <c r="C19" t="s">
        <v>71</v>
      </c>
      <c r="D19">
        <v>1013</v>
      </c>
      <c r="E19" t="s">
        <v>180</v>
      </c>
      <c r="F19" t="s">
        <v>74</v>
      </c>
      <c r="G19" t="s">
        <v>88</v>
      </c>
      <c r="H19" s="10" t="s">
        <v>277</v>
      </c>
      <c r="I19" t="str">
        <f t="shared" si="0"/>
        <v>Th-1013,Sénégal</v>
      </c>
    </row>
    <row r="20" spans="2:9" x14ac:dyDescent="0.35">
      <c r="B20" t="s">
        <v>179</v>
      </c>
      <c r="C20" t="s">
        <v>72</v>
      </c>
      <c r="D20">
        <v>1014</v>
      </c>
      <c r="E20" t="s">
        <v>73</v>
      </c>
      <c r="F20" t="s">
        <v>74</v>
      </c>
      <c r="G20" t="s">
        <v>89</v>
      </c>
      <c r="H20" s="10" t="s">
        <v>277</v>
      </c>
      <c r="I20" t="str">
        <f t="shared" si="0"/>
        <v>Da-1014,Sénégal</v>
      </c>
    </row>
  </sheetData>
  <hyperlinks>
    <hyperlink ref="H6" r:id="rId1" xr:uid="{0B26359A-EE51-4667-8386-5558756E18D3}"/>
    <hyperlink ref="H7:H20" r:id="rId2" display="ndiaye1@gmail.com" xr:uid="{493A6D72-5304-4286-8241-8C9A03E6986C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78003-0B19-403B-808F-52504732A456}">
  <sheetPr codeName="Feuil14"/>
  <dimension ref="B1:I31"/>
  <sheetViews>
    <sheetView showGridLines="0" workbookViewId="0">
      <selection activeCell="D3" sqref="D3"/>
    </sheetView>
  </sheetViews>
  <sheetFormatPr baseColWidth="10" defaultRowHeight="14.5" x14ac:dyDescent="0.35"/>
  <cols>
    <col min="2" max="2" width="17.7265625" customWidth="1"/>
    <col min="3" max="3" width="13.26953125" customWidth="1"/>
    <col min="5" max="5" width="12.7265625" bestFit="1" customWidth="1"/>
    <col min="7" max="7" width="12.1796875" bestFit="1" customWidth="1"/>
    <col min="8" max="8" width="19.453125" bestFit="1" customWidth="1"/>
    <col min="9" max="9" width="15.453125" customWidth="1"/>
    <col min="10" max="10" width="13.1796875" customWidth="1"/>
  </cols>
  <sheetData>
    <row r="1" spans="2:9" ht="37" customHeight="1" x14ac:dyDescent="0.35"/>
    <row r="5" spans="2:9" x14ac:dyDescent="0.35">
      <c r="B5" s="7" t="s">
        <v>20</v>
      </c>
      <c r="C5" s="8" t="s">
        <v>51</v>
      </c>
      <c r="D5" s="8" t="s">
        <v>52</v>
      </c>
      <c r="E5" s="8" t="s">
        <v>53</v>
      </c>
      <c r="F5" s="8" t="s">
        <v>54</v>
      </c>
      <c r="G5" s="8" t="s">
        <v>55</v>
      </c>
      <c r="H5" s="8" t="s">
        <v>56</v>
      </c>
      <c r="I5" s="9" t="s">
        <v>57</v>
      </c>
    </row>
    <row r="6" spans="2:9" x14ac:dyDescent="0.35">
      <c r="B6" t="s">
        <v>186</v>
      </c>
      <c r="C6" t="s">
        <v>114</v>
      </c>
      <c r="D6">
        <v>1000</v>
      </c>
      <c r="E6" t="s">
        <v>73</v>
      </c>
      <c r="F6" t="s">
        <v>74</v>
      </c>
      <c r="G6" t="s">
        <v>129</v>
      </c>
      <c r="H6" s="10" t="s">
        <v>144</v>
      </c>
      <c r="I6" t="str">
        <f>CONCATENATE(LEFT(E6,2),"-",D6,",",F6)</f>
        <v>Da-1000,Sénégal</v>
      </c>
    </row>
    <row r="7" spans="2:9" x14ac:dyDescent="0.35">
      <c r="B7" t="s">
        <v>187</v>
      </c>
      <c r="C7" t="s">
        <v>115</v>
      </c>
      <c r="D7">
        <v>1001</v>
      </c>
      <c r="E7" t="s">
        <v>180</v>
      </c>
      <c r="F7" t="s">
        <v>74</v>
      </c>
      <c r="G7" t="s">
        <v>130</v>
      </c>
      <c r="H7" s="10" t="s">
        <v>145</v>
      </c>
      <c r="I7" t="str">
        <f t="shared" ref="I7:I31" si="0">CONCATENATE(LEFT(E7,2),"-",D7,",",F7)</f>
        <v>Th-1001,Sénégal</v>
      </c>
    </row>
    <row r="8" spans="2:9" x14ac:dyDescent="0.35">
      <c r="B8" t="s">
        <v>188</v>
      </c>
      <c r="C8" t="s">
        <v>116</v>
      </c>
      <c r="D8">
        <v>1002</v>
      </c>
      <c r="E8" t="s">
        <v>73</v>
      </c>
      <c r="F8" t="s">
        <v>74</v>
      </c>
      <c r="G8" t="s">
        <v>131</v>
      </c>
      <c r="H8" s="10" t="s">
        <v>146</v>
      </c>
      <c r="I8" t="str">
        <f t="shared" si="0"/>
        <v>Da-1002,Sénégal</v>
      </c>
    </row>
    <row r="9" spans="2:9" x14ac:dyDescent="0.35">
      <c r="B9" t="s">
        <v>189</v>
      </c>
      <c r="C9" t="s">
        <v>117</v>
      </c>
      <c r="D9">
        <v>1003</v>
      </c>
      <c r="E9" t="s">
        <v>225</v>
      </c>
      <c r="F9" t="s">
        <v>74</v>
      </c>
      <c r="G9" t="s">
        <v>132</v>
      </c>
      <c r="H9" s="10" t="s">
        <v>147</v>
      </c>
      <c r="I9" t="str">
        <f t="shared" si="0"/>
        <v>Di-1003,Sénégal</v>
      </c>
    </row>
    <row r="10" spans="2:9" x14ac:dyDescent="0.35">
      <c r="B10" t="s">
        <v>190</v>
      </c>
      <c r="C10" t="s">
        <v>118</v>
      </c>
      <c r="D10">
        <v>1004</v>
      </c>
      <c r="E10" t="s">
        <v>226</v>
      </c>
      <c r="F10" t="s">
        <v>74</v>
      </c>
      <c r="G10" t="s">
        <v>133</v>
      </c>
      <c r="H10" s="10" t="s">
        <v>148</v>
      </c>
      <c r="I10" t="str">
        <f t="shared" si="0"/>
        <v>Ko-1004,Sénégal</v>
      </c>
    </row>
    <row r="11" spans="2:9" x14ac:dyDescent="0.35">
      <c r="B11" t="s">
        <v>191</v>
      </c>
      <c r="C11" t="s">
        <v>119</v>
      </c>
      <c r="D11">
        <v>1005</v>
      </c>
      <c r="E11" t="s">
        <v>183</v>
      </c>
      <c r="F11" t="s">
        <v>74</v>
      </c>
      <c r="G11" t="s">
        <v>134</v>
      </c>
      <c r="H11" s="10" t="s">
        <v>149</v>
      </c>
      <c r="I11" t="str">
        <f t="shared" si="0"/>
        <v>Fa-1005,Sénégal</v>
      </c>
    </row>
    <row r="12" spans="2:9" x14ac:dyDescent="0.35">
      <c r="B12" t="s">
        <v>192</v>
      </c>
      <c r="C12" t="s">
        <v>120</v>
      </c>
      <c r="D12">
        <v>1006</v>
      </c>
      <c r="E12" t="s">
        <v>184</v>
      </c>
      <c r="F12" t="s">
        <v>74</v>
      </c>
      <c r="G12" t="s">
        <v>135</v>
      </c>
      <c r="H12" s="10" t="s">
        <v>150</v>
      </c>
      <c r="I12" t="str">
        <f t="shared" si="0"/>
        <v>Ta-1006,Sénégal</v>
      </c>
    </row>
    <row r="13" spans="2:9" x14ac:dyDescent="0.35">
      <c r="B13" t="s">
        <v>193</v>
      </c>
      <c r="C13" t="s">
        <v>121</v>
      </c>
      <c r="D13">
        <v>1007</v>
      </c>
      <c r="E13" t="s">
        <v>180</v>
      </c>
      <c r="F13" t="s">
        <v>74</v>
      </c>
      <c r="G13" t="s">
        <v>136</v>
      </c>
      <c r="H13" s="10" t="s">
        <v>151</v>
      </c>
      <c r="I13" t="str">
        <f t="shared" si="0"/>
        <v>Th-1007,Sénégal</v>
      </c>
    </row>
    <row r="14" spans="2:9" x14ac:dyDescent="0.35">
      <c r="B14" t="s">
        <v>194</v>
      </c>
      <c r="C14" t="s">
        <v>122</v>
      </c>
      <c r="D14">
        <v>1008</v>
      </c>
      <c r="E14" t="s">
        <v>184</v>
      </c>
      <c r="F14" t="s">
        <v>74</v>
      </c>
      <c r="G14" t="s">
        <v>137</v>
      </c>
      <c r="H14" s="10" t="s">
        <v>152</v>
      </c>
      <c r="I14" t="str">
        <f t="shared" si="0"/>
        <v>Ta-1008,Sénégal</v>
      </c>
    </row>
    <row r="15" spans="2:9" x14ac:dyDescent="0.35">
      <c r="B15" t="s">
        <v>195</v>
      </c>
      <c r="C15" t="s">
        <v>123</v>
      </c>
      <c r="D15">
        <v>1009</v>
      </c>
      <c r="E15" t="s">
        <v>225</v>
      </c>
      <c r="F15" t="s">
        <v>74</v>
      </c>
      <c r="G15" t="s">
        <v>138</v>
      </c>
      <c r="H15" s="10" t="s">
        <v>153</v>
      </c>
      <c r="I15" t="str">
        <f t="shared" si="0"/>
        <v>Di-1009,Sénégal</v>
      </c>
    </row>
    <row r="16" spans="2:9" x14ac:dyDescent="0.35">
      <c r="B16" t="s">
        <v>196</v>
      </c>
      <c r="C16" t="s">
        <v>124</v>
      </c>
      <c r="D16">
        <v>1010</v>
      </c>
      <c r="E16" t="s">
        <v>73</v>
      </c>
      <c r="F16" t="s">
        <v>74</v>
      </c>
      <c r="G16" t="s">
        <v>139</v>
      </c>
      <c r="H16" s="10" t="s">
        <v>154</v>
      </c>
      <c r="I16" t="str">
        <f t="shared" si="0"/>
        <v>Da-1010,Sénégal</v>
      </c>
    </row>
    <row r="17" spans="2:9" x14ac:dyDescent="0.35">
      <c r="B17" t="s">
        <v>197</v>
      </c>
      <c r="C17" t="s">
        <v>125</v>
      </c>
      <c r="D17">
        <v>1011</v>
      </c>
      <c r="E17" t="str">
        <f>E11</f>
        <v>Fatick</v>
      </c>
      <c r="F17" t="s">
        <v>74</v>
      </c>
      <c r="G17" t="s">
        <v>140</v>
      </c>
      <c r="H17" s="10" t="s">
        <v>155</v>
      </c>
      <c r="I17" t="str">
        <f t="shared" si="0"/>
        <v>Fa-1011,Sénégal</v>
      </c>
    </row>
    <row r="18" spans="2:9" x14ac:dyDescent="0.35">
      <c r="B18" t="s">
        <v>198</v>
      </c>
      <c r="C18" t="s">
        <v>126</v>
      </c>
      <c r="D18">
        <v>1012</v>
      </c>
      <c r="E18" t="s">
        <v>73</v>
      </c>
      <c r="F18" t="s">
        <v>74</v>
      </c>
      <c r="G18" t="s">
        <v>141</v>
      </c>
      <c r="H18" s="10" t="s">
        <v>156</v>
      </c>
      <c r="I18" t="str">
        <f t="shared" si="0"/>
        <v>Da-1012,Sénégal</v>
      </c>
    </row>
    <row r="19" spans="2:9" x14ac:dyDescent="0.35">
      <c r="B19" t="s">
        <v>199</v>
      </c>
      <c r="C19" t="s">
        <v>127</v>
      </c>
      <c r="D19">
        <v>1013</v>
      </c>
      <c r="E19" t="str">
        <f>E9</f>
        <v>Diouroubel</v>
      </c>
      <c r="F19" t="s">
        <v>74</v>
      </c>
      <c r="G19" t="s">
        <v>142</v>
      </c>
      <c r="H19" s="10" t="s">
        <v>157</v>
      </c>
      <c r="I19" t="str">
        <f t="shared" si="0"/>
        <v>Di-1013,Sénégal</v>
      </c>
    </row>
    <row r="20" spans="2:9" x14ac:dyDescent="0.35">
      <c r="B20" t="s">
        <v>200</v>
      </c>
      <c r="C20" t="s">
        <v>128</v>
      </c>
      <c r="D20">
        <v>1015</v>
      </c>
      <c r="E20" t="str">
        <f>E10</f>
        <v>Kolda</v>
      </c>
      <c r="F20" t="s">
        <v>74</v>
      </c>
      <c r="G20" t="s">
        <v>143</v>
      </c>
      <c r="H20" s="10" t="s">
        <v>158</v>
      </c>
      <c r="I20" t="str">
        <f t="shared" si="0"/>
        <v>Ko-1015,Sénégal</v>
      </c>
    </row>
    <row r="21" spans="2:9" x14ac:dyDescent="0.35">
      <c r="B21" t="s">
        <v>201</v>
      </c>
      <c r="C21" t="s">
        <v>203</v>
      </c>
      <c r="D21">
        <v>1015</v>
      </c>
      <c r="E21" t="str">
        <f>E15</f>
        <v>Diouroubel</v>
      </c>
      <c r="F21" t="s">
        <v>74</v>
      </c>
      <c r="G21" t="s">
        <v>214</v>
      </c>
      <c r="H21" s="10" t="s">
        <v>158</v>
      </c>
      <c r="I21" t="str">
        <f t="shared" si="0"/>
        <v>Di-1015,Sénégal</v>
      </c>
    </row>
    <row r="22" spans="2:9" x14ac:dyDescent="0.35">
      <c r="B22" t="s">
        <v>202</v>
      </c>
      <c r="C22" t="s">
        <v>204</v>
      </c>
      <c r="D22">
        <v>1016</v>
      </c>
      <c r="E22" t="str">
        <f>E17</f>
        <v>Fatick</v>
      </c>
      <c r="F22" t="s">
        <v>74</v>
      </c>
      <c r="G22" t="s">
        <v>215</v>
      </c>
      <c r="H22" s="10" t="s">
        <v>158</v>
      </c>
      <c r="I22" t="str">
        <f t="shared" si="0"/>
        <v>Fa-1016,Sénégal</v>
      </c>
    </row>
    <row r="23" spans="2:9" x14ac:dyDescent="0.35">
      <c r="B23" t="str">
        <f>B19</f>
        <v>Chaka</v>
      </c>
      <c r="C23" t="s">
        <v>205</v>
      </c>
      <c r="D23">
        <v>1017</v>
      </c>
      <c r="E23" t="str">
        <f>E21</f>
        <v>Diouroubel</v>
      </c>
      <c r="F23" t="s">
        <v>74</v>
      </c>
      <c r="G23" t="s">
        <v>216</v>
      </c>
      <c r="H23" s="10" t="s">
        <v>158</v>
      </c>
      <c r="I23" t="str">
        <f t="shared" si="0"/>
        <v>Di-1017,Sénégal</v>
      </c>
    </row>
    <row r="24" spans="2:9" x14ac:dyDescent="0.35">
      <c r="B24" t="str">
        <f>B22</f>
        <v>Billingham</v>
      </c>
      <c r="C24" t="s">
        <v>206</v>
      </c>
      <c r="D24">
        <v>1018</v>
      </c>
      <c r="E24" t="str">
        <f>E23</f>
        <v>Diouroubel</v>
      </c>
      <c r="F24" t="s">
        <v>74</v>
      </c>
      <c r="G24" t="s">
        <v>217</v>
      </c>
      <c r="H24" s="10" t="s">
        <v>158</v>
      </c>
      <c r="I24" t="str">
        <f t="shared" si="0"/>
        <v>Di-1018,Sénégal</v>
      </c>
    </row>
    <row r="25" spans="2:9" x14ac:dyDescent="0.35">
      <c r="B25" t="str">
        <f>B16</f>
        <v>Mcintyre</v>
      </c>
      <c r="C25" t="s">
        <v>207</v>
      </c>
      <c r="D25">
        <v>1019</v>
      </c>
      <c r="E25" t="str">
        <f>E15</f>
        <v>Diouroubel</v>
      </c>
      <c r="F25" t="s">
        <v>74</v>
      </c>
      <c r="G25" t="s">
        <v>218</v>
      </c>
      <c r="H25" s="10" t="s">
        <v>158</v>
      </c>
      <c r="I25" t="str">
        <f t="shared" si="0"/>
        <v>Di-1019,Sénégal</v>
      </c>
    </row>
    <row r="26" spans="2:9" x14ac:dyDescent="0.35">
      <c r="B26" t="str">
        <f>B14</f>
        <v>Kennedy</v>
      </c>
      <c r="C26" t="s">
        <v>208</v>
      </c>
      <c r="D26">
        <v>1020</v>
      </c>
      <c r="E26" t="str">
        <f>E22</f>
        <v>Fatick</v>
      </c>
      <c r="F26" t="s">
        <v>74</v>
      </c>
      <c r="G26" t="s">
        <v>219</v>
      </c>
      <c r="H26" s="10" t="s">
        <v>158</v>
      </c>
      <c r="I26" t="str">
        <f t="shared" si="0"/>
        <v>Fa-1020,Sénégal</v>
      </c>
    </row>
    <row r="27" spans="2:9" x14ac:dyDescent="0.35">
      <c r="B27" t="str">
        <f>B21</f>
        <v>Adam</v>
      </c>
      <c r="C27" t="s">
        <v>209</v>
      </c>
      <c r="D27">
        <v>1021</v>
      </c>
      <c r="E27" t="str">
        <f>E13</f>
        <v>Thiès</v>
      </c>
      <c r="F27" t="s">
        <v>74</v>
      </c>
      <c r="G27" t="s">
        <v>220</v>
      </c>
      <c r="H27" s="10" t="s">
        <v>158</v>
      </c>
      <c r="I27" t="str">
        <f t="shared" si="0"/>
        <v>Th-1021,Sénégal</v>
      </c>
    </row>
    <row r="28" spans="2:9" x14ac:dyDescent="0.35">
      <c r="B28" t="str">
        <f>B18</f>
        <v>Sadibou</v>
      </c>
      <c r="C28" t="s">
        <v>210</v>
      </c>
      <c r="D28">
        <v>1022</v>
      </c>
      <c r="E28" t="s">
        <v>180</v>
      </c>
      <c r="F28" t="s">
        <v>74</v>
      </c>
      <c r="G28" t="s">
        <v>221</v>
      </c>
      <c r="H28" s="10" t="s">
        <v>158</v>
      </c>
      <c r="I28" t="str">
        <f t="shared" si="0"/>
        <v>Th-1022,Sénégal</v>
      </c>
    </row>
    <row r="29" spans="2:9" x14ac:dyDescent="0.35">
      <c r="B29" t="str">
        <f>B19</f>
        <v>Chaka</v>
      </c>
      <c r="C29" t="s">
        <v>211</v>
      </c>
      <c r="D29">
        <v>1023</v>
      </c>
      <c r="E29" t="s">
        <v>183</v>
      </c>
      <c r="F29" t="s">
        <v>74</v>
      </c>
      <c r="G29" t="s">
        <v>222</v>
      </c>
      <c r="H29" s="10" t="s">
        <v>158</v>
      </c>
      <c r="I29" t="str">
        <f t="shared" si="0"/>
        <v>Fa-1023,Sénégal</v>
      </c>
    </row>
    <row r="30" spans="2:9" x14ac:dyDescent="0.35">
      <c r="B30" t="str">
        <f>B15</f>
        <v>Shuldberg</v>
      </c>
      <c r="C30" t="s">
        <v>212</v>
      </c>
      <c r="D30">
        <v>1024</v>
      </c>
      <c r="E30" t="s">
        <v>226</v>
      </c>
      <c r="F30" t="s">
        <v>74</v>
      </c>
      <c r="G30" t="s">
        <v>223</v>
      </c>
      <c r="H30" s="10" t="s">
        <v>158</v>
      </c>
      <c r="I30" t="str">
        <f t="shared" si="0"/>
        <v>Ko-1024,Sénégal</v>
      </c>
    </row>
    <row r="31" spans="2:9" x14ac:dyDescent="0.35">
      <c r="B31" t="str">
        <f>B20</f>
        <v>Yatabaré</v>
      </c>
      <c r="C31" t="s">
        <v>213</v>
      </c>
      <c r="D31">
        <v>1025</v>
      </c>
      <c r="E31" t="s">
        <v>184</v>
      </c>
      <c r="F31" t="s">
        <v>74</v>
      </c>
      <c r="G31" t="s">
        <v>224</v>
      </c>
      <c r="H31" s="10" t="s">
        <v>158</v>
      </c>
      <c r="I31" t="str">
        <f t="shared" si="0"/>
        <v>Ta-1025,Sénégal</v>
      </c>
    </row>
  </sheetData>
  <phoneticPr fontId="1" type="noConversion"/>
  <hyperlinks>
    <hyperlink ref="H6" r:id="rId1" display="groupe1@gmail.com" xr:uid="{71AEC666-27D5-4D0E-8DCD-B72E0F68CCE0}"/>
    <hyperlink ref="H8:H9" r:id="rId2" display="groupe1@gmail.com" xr:uid="{77DA4446-79B8-4202-920B-B8F613C3D661}"/>
    <hyperlink ref="H7" r:id="rId3" display="groupe1@gmail.com" xr:uid="{CD1956A7-B0FC-4EFF-9461-5A099451595A}"/>
  </hyperlinks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F2D9-9BB3-4FCF-8F7C-36D8F97E61D3}">
  <sheetPr codeName="Feuil15"/>
  <dimension ref="B1:K45"/>
  <sheetViews>
    <sheetView showGridLines="0" topLeftCell="B1" zoomScaleNormal="100" workbookViewId="0">
      <selection activeCell="F20" sqref="F20"/>
    </sheetView>
  </sheetViews>
  <sheetFormatPr baseColWidth="10" defaultRowHeight="14.5" x14ac:dyDescent="0.35"/>
  <cols>
    <col min="2" max="2" width="17.7265625" customWidth="1"/>
    <col min="3" max="3" width="14.6328125" customWidth="1"/>
    <col min="5" max="5" width="18.1796875" bestFit="1" customWidth="1"/>
    <col min="9" max="9" width="13.26953125" customWidth="1"/>
    <col min="10" max="10" width="13.1796875" customWidth="1"/>
  </cols>
  <sheetData>
    <row r="1" spans="2:11" ht="40" customHeight="1" x14ac:dyDescent="0.35"/>
    <row r="6" spans="2:11" x14ac:dyDescent="0.35">
      <c r="B6" s="2" t="s">
        <v>0</v>
      </c>
      <c r="C6" s="3"/>
    </row>
    <row r="7" spans="2:11" x14ac:dyDescent="0.35">
      <c r="I7" s="17" t="s">
        <v>16</v>
      </c>
      <c r="J7" s="3"/>
      <c r="K7" s="3"/>
    </row>
    <row r="8" spans="2:11" x14ac:dyDescent="0.35">
      <c r="B8" s="1" t="s">
        <v>1</v>
      </c>
      <c r="C8" s="39" t="s">
        <v>286</v>
      </c>
    </row>
    <row r="9" spans="2:11" x14ac:dyDescent="0.35">
      <c r="B9" s="1" t="s">
        <v>2</v>
      </c>
      <c r="C9" s="39" t="s">
        <v>9</v>
      </c>
      <c r="I9" s="13" t="s">
        <v>17</v>
      </c>
    </row>
    <row r="10" spans="2:11" x14ac:dyDescent="0.35">
      <c r="B10" s="1" t="s">
        <v>3</v>
      </c>
      <c r="C10" s="39" t="s">
        <v>10</v>
      </c>
    </row>
    <row r="11" spans="2:11" x14ac:dyDescent="0.35">
      <c r="B11" s="1" t="s">
        <v>4</v>
      </c>
      <c r="C11" s="39" t="s">
        <v>11</v>
      </c>
      <c r="I11" s="13" t="s">
        <v>18</v>
      </c>
    </row>
    <row r="12" spans="2:11" x14ac:dyDescent="0.35">
      <c r="B12" s="1" t="s">
        <v>5</v>
      </c>
      <c r="C12" s="39" t="s">
        <v>12</v>
      </c>
    </row>
    <row r="13" spans="2:11" x14ac:dyDescent="0.35">
      <c r="B13" s="1" t="s">
        <v>6</v>
      </c>
      <c r="C13" s="39" t="s">
        <v>13</v>
      </c>
    </row>
    <row r="14" spans="2:11" x14ac:dyDescent="0.35">
      <c r="B14" s="1" t="s">
        <v>7</v>
      </c>
      <c r="C14" s="39" t="s">
        <v>14</v>
      </c>
    </row>
    <row r="15" spans="2:11" x14ac:dyDescent="0.35">
      <c r="B15" s="1" t="s">
        <v>8</v>
      </c>
      <c r="C15" s="39" t="s">
        <v>15</v>
      </c>
    </row>
    <row r="19" spans="2:5" x14ac:dyDescent="0.35">
      <c r="B19" s="1" t="s">
        <v>9</v>
      </c>
      <c r="C19" s="14" t="s">
        <v>29</v>
      </c>
      <c r="D19" s="1">
        <v>4</v>
      </c>
      <c r="E19" s="1" t="str">
        <f>C19&amp;TEXT(D19,"00000")</f>
        <v>ART-00004</v>
      </c>
    </row>
    <row r="20" spans="2:5" x14ac:dyDescent="0.35">
      <c r="B20" s="1" t="s">
        <v>10</v>
      </c>
      <c r="C20" s="14" t="s">
        <v>30</v>
      </c>
      <c r="D20" s="1">
        <v>21</v>
      </c>
      <c r="E20" s="1" t="str">
        <f>C20&amp;TEXT(D20,"00000")</f>
        <v>ORD-00021</v>
      </c>
    </row>
    <row r="21" spans="2:5" x14ac:dyDescent="0.35">
      <c r="B21" s="1" t="s">
        <v>12</v>
      </c>
      <c r="C21" s="14" t="s">
        <v>113</v>
      </c>
      <c r="D21" s="1">
        <v>1</v>
      </c>
      <c r="E21" s="1" t="str">
        <f>C21&amp;TEXT(D21,"00000")</f>
        <v>BOO-00001</v>
      </c>
    </row>
    <row r="25" spans="2:5" x14ac:dyDescent="0.35">
      <c r="B25" s="15" t="s">
        <v>102</v>
      </c>
    </row>
    <row r="26" spans="2:5" x14ac:dyDescent="0.35">
      <c r="B26" s="1" t="s">
        <v>103</v>
      </c>
      <c r="C26" s="12" t="s">
        <v>334</v>
      </c>
      <c r="D26" s="4"/>
    </row>
    <row r="27" spans="2:5" x14ac:dyDescent="0.35">
      <c r="B27" s="1" t="s">
        <v>53</v>
      </c>
      <c r="C27" s="12" t="s">
        <v>73</v>
      </c>
      <c r="D27" s="4"/>
    </row>
    <row r="28" spans="2:5" x14ac:dyDescent="0.35">
      <c r="B28" s="1" t="s">
        <v>93</v>
      </c>
      <c r="C28" s="12" t="s">
        <v>107</v>
      </c>
      <c r="D28" s="4"/>
    </row>
    <row r="29" spans="2:5" x14ac:dyDescent="0.35">
      <c r="B29" s="1" t="s">
        <v>51</v>
      </c>
      <c r="C29" s="12" t="s">
        <v>104</v>
      </c>
      <c r="D29" s="4"/>
    </row>
    <row r="30" spans="2:5" x14ac:dyDescent="0.35">
      <c r="B30" s="1" t="s">
        <v>94</v>
      </c>
      <c r="C30" s="12">
        <v>1000</v>
      </c>
      <c r="D30" s="4"/>
    </row>
    <row r="31" spans="2:5" x14ac:dyDescent="0.35">
      <c r="B31" s="1" t="s">
        <v>54</v>
      </c>
      <c r="C31" s="12" t="s">
        <v>74</v>
      </c>
      <c r="D31" s="4"/>
    </row>
    <row r="32" spans="2:5" x14ac:dyDescent="0.35">
      <c r="B32" s="1" t="s">
        <v>105</v>
      </c>
      <c r="C32" s="12" t="s">
        <v>75</v>
      </c>
      <c r="D32" s="4"/>
    </row>
    <row r="33" spans="2:9" x14ac:dyDescent="0.35">
      <c r="B33" s="1" t="s">
        <v>95</v>
      </c>
      <c r="C33" s="16" t="s">
        <v>90</v>
      </c>
      <c r="D33" s="4"/>
    </row>
    <row r="35" spans="2:9" x14ac:dyDescent="0.35">
      <c r="B35" s="1" t="s">
        <v>106</v>
      </c>
    </row>
    <row r="40" spans="2:9" x14ac:dyDescent="0.35">
      <c r="B40" s="40" t="s">
        <v>287</v>
      </c>
      <c r="C40" s="41" t="s">
        <v>288</v>
      </c>
      <c r="D40" s="41"/>
      <c r="E40" s="43">
        <f>SUM(feuille_Article!G6:G36)</f>
        <v>104788334</v>
      </c>
    </row>
    <row r="41" spans="2:9" x14ac:dyDescent="0.35">
      <c r="B41" s="40" t="s">
        <v>289</v>
      </c>
      <c r="C41" s="41" t="s">
        <v>290</v>
      </c>
      <c r="D41" s="41"/>
      <c r="E41" s="41">
        <f>COUNTIF(Tableau25[check],"open")</f>
        <v>28</v>
      </c>
    </row>
    <row r="42" spans="2:9" x14ac:dyDescent="0.35">
      <c r="B42" s="40" t="s">
        <v>291</v>
      </c>
      <c r="C42" s="41" t="s">
        <v>316</v>
      </c>
      <c r="D42" s="41"/>
      <c r="E42" s="41">
        <f>COUNTIF(feuille_Article!I6:$I$36,1)</f>
        <v>3</v>
      </c>
    </row>
    <row r="43" spans="2:9" x14ac:dyDescent="0.35">
      <c r="B43" s="40" t="s">
        <v>292</v>
      </c>
      <c r="C43" s="41" t="s">
        <v>293</v>
      </c>
      <c r="D43" s="41"/>
      <c r="E43" s="41">
        <f>COUNTIF(feuille_Article!$J$6:$J$36,"Active")</f>
        <v>31</v>
      </c>
    </row>
    <row r="44" spans="2:9" x14ac:dyDescent="0.35">
      <c r="B44" s="40" t="s">
        <v>294</v>
      </c>
      <c r="C44" s="41" t="s">
        <v>295</v>
      </c>
      <c r="D44" s="41"/>
      <c r="E44" s="42">
        <f>SUM(feuille_Article!F6:$F$36)</f>
        <v>2287</v>
      </c>
    </row>
    <row r="45" spans="2:9" x14ac:dyDescent="0.35">
      <c r="B45" s="40" t="s">
        <v>296</v>
      </c>
      <c r="C45" s="41" t="s">
        <v>317</v>
      </c>
      <c r="D45" s="41"/>
      <c r="E45" s="41" t="str">
        <f>IFERROR(INDEX(Tableau1[Nr article],MATCH(1,Tableau1[Ranking],0)),"")</f>
        <v>ART-00029</v>
      </c>
      <c r="F45" s="41" t="str">
        <f>IFERROR(INDEX(Tableau1[Nr article],MATCH(2,Tableau1[Ranking],0)),"")</f>
        <v>ART-00008</v>
      </c>
      <c r="G45" s="41" t="str">
        <f>IFERROR(INDEX(Tableau1[Nr article],MATCH(3,Tableau1[Ranking],0)),"")</f>
        <v>ART-00029</v>
      </c>
      <c r="H45" s="41" t="str">
        <f>IFERROR(INDEX(Tableau1[Nr article],MATCH(4,Tableau1[Ranking],0)),"")</f>
        <v>ART-00023</v>
      </c>
      <c r="I45" s="41" t="str">
        <f>IFERROR(INDEX(Tableau1[Nr article],MATCH(5,Tableau1[Ranking],0)),"")</f>
        <v>ART-00021</v>
      </c>
    </row>
  </sheetData>
  <hyperlinks>
    <hyperlink ref="C33" r:id="rId1" xr:uid="{9A3E017C-7561-43F2-A200-021BF66E5960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Home</vt:lpstr>
      <vt:lpstr>feuille_Article</vt:lpstr>
      <vt:lpstr>feuille_order</vt:lpstr>
      <vt:lpstr>feuille_po</vt:lpstr>
      <vt:lpstr>feuille_booking</vt:lpstr>
      <vt:lpstr>feuille_fournisseur</vt:lpstr>
      <vt:lpstr>feuille_client</vt:lpstr>
      <vt:lpstr>feuille_config</vt:lpstr>
      <vt:lpstr>articl</vt:lpstr>
      <vt:lpstr>feuille_Article!article</vt:lpstr>
      <vt:lpstr>client</vt:lpstr>
      <vt:lpstr>fournisseur2</vt:lpstr>
      <vt:lpstr>order</vt:lpstr>
      <vt:lpstr>feuille_po!Zone_d_impression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ADAM ALASSANE Ibrahim</cp:lastModifiedBy>
  <cp:lastPrinted>2024-02-10T08:53:36Z</cp:lastPrinted>
  <dcterms:created xsi:type="dcterms:W3CDTF">2024-02-07T22:16:40Z</dcterms:created>
  <dcterms:modified xsi:type="dcterms:W3CDTF">2024-02-10T12:54:42Z</dcterms:modified>
</cp:coreProperties>
</file>